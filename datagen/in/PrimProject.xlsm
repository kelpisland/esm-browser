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CA64066A-ACE2-59CF-C789-10412C3B3B8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phen\cats\esm-prototype\datagen\in\"/>
    </mc:Choice>
  </mc:AlternateContent>
  <bookViews>
    <workbookView xWindow="0" yWindow="0" windowWidth="21600" windowHeight="10050" tabRatio="815" firstSheet="5" activeTab="7"/>
  </bookViews>
  <sheets>
    <sheet name="Project" sheetId="17" r:id="rId1"/>
    <sheet name="IntakeQ&amp;A" sheetId="8" r:id="rId2"/>
    <sheet name="ProjPhases" sheetId="20" r:id="rId3"/>
    <sheet name="Milestones" sheetId="36" r:id="rId4"/>
    <sheet name="Activities" sheetId="39" r:id="rId5"/>
    <sheet name="Tasks" sheetId="42" r:id="rId6"/>
    <sheet name="Codes" sheetId="38" r:id="rId7"/>
    <sheet name="ActTasks" sheetId="28" r:id="rId8"/>
    <sheet name="Visibility" sheetId="45" r:id="rId9"/>
    <sheet name="tasks.csv" sheetId="43" r:id="rId10"/>
    <sheet name="activities.csv" sheetId="40" r:id="rId11"/>
    <sheet name="project.csv" sheetId="35" r:id="rId12"/>
    <sheet name="intakeqa.csv" sheetId="16" r:id="rId13"/>
    <sheet name="projphases.csv" sheetId="27" r:id="rId14"/>
    <sheet name="visibility.csv" sheetId="44" r:id="rId15"/>
    <sheet name="access.csv" sheetId="46" r:id="rId16"/>
    <sheet name="milestones.csv" sheetId="37" r:id="rId17"/>
  </sheets>
  <calcPr calcId="162913"/>
</workbook>
</file>

<file path=xl/calcChain.xml><?xml version="1.0" encoding="utf-8"?>
<calcChain xmlns="http://schemas.openxmlformats.org/spreadsheetml/2006/main">
  <c r="B49" i="44" l="1"/>
  <c r="E49" i="44" s="1"/>
  <c r="A49" i="44"/>
  <c r="B48" i="44"/>
  <c r="E48" i="44" s="1"/>
  <c r="A48" i="44"/>
  <c r="B47" i="44"/>
  <c r="E47" i="44" s="1"/>
  <c r="A47" i="44"/>
  <c r="B46" i="44"/>
  <c r="E46" i="44" s="1"/>
  <c r="A46" i="44"/>
  <c r="B45" i="44"/>
  <c r="E45" i="44" s="1"/>
  <c r="A45" i="44"/>
  <c r="B44" i="44"/>
  <c r="D44" i="44" s="1"/>
  <c r="A44" i="44"/>
  <c r="B43" i="44"/>
  <c r="C43" i="44" s="1"/>
  <c r="A43" i="44"/>
  <c r="B42" i="44"/>
  <c r="C42" i="44" s="1"/>
  <c r="A42" i="44"/>
  <c r="B41" i="44"/>
  <c r="E41" i="44" s="1"/>
  <c r="A41" i="44"/>
  <c r="B40" i="44"/>
  <c r="D40" i="44" s="1"/>
  <c r="A40" i="44"/>
  <c r="B39" i="44"/>
  <c r="C39" i="44" s="1"/>
  <c r="A39" i="44"/>
  <c r="B38" i="44"/>
  <c r="E38" i="44" s="1"/>
  <c r="A38" i="44"/>
  <c r="B37" i="44"/>
  <c r="E37" i="44" s="1"/>
  <c r="A37" i="44"/>
  <c r="B36" i="44"/>
  <c r="D36" i="44" s="1"/>
  <c r="A36" i="44"/>
  <c r="B35" i="44"/>
  <c r="C35" i="44" s="1"/>
  <c r="A35" i="44"/>
  <c r="B34" i="44"/>
  <c r="D34" i="44" s="1"/>
  <c r="A34" i="44"/>
  <c r="B33" i="44"/>
  <c r="E33" i="44" s="1"/>
  <c r="A33" i="44"/>
  <c r="B32" i="44"/>
  <c r="D32" i="44" s="1"/>
  <c r="A32" i="44"/>
  <c r="B31" i="44"/>
  <c r="C31" i="44" s="1"/>
  <c r="A31" i="44"/>
  <c r="B30" i="44"/>
  <c r="E30" i="44" s="1"/>
  <c r="A30" i="44"/>
  <c r="B29" i="44"/>
  <c r="E29" i="44" s="1"/>
  <c r="A29" i="44"/>
  <c r="B28" i="44"/>
  <c r="D28" i="44" s="1"/>
  <c r="A28" i="44"/>
  <c r="B27" i="44"/>
  <c r="C27" i="44" s="1"/>
  <c r="A27" i="44"/>
  <c r="B26" i="44"/>
  <c r="C26" i="44" s="1"/>
  <c r="A26" i="44"/>
  <c r="B25" i="44"/>
  <c r="E25" i="44" s="1"/>
  <c r="A25" i="44"/>
  <c r="B24" i="44"/>
  <c r="D24" i="44" s="1"/>
  <c r="A24" i="44"/>
  <c r="B23" i="44"/>
  <c r="C23" i="44" s="1"/>
  <c r="A23" i="44"/>
  <c r="B22" i="44"/>
  <c r="E22" i="44" s="1"/>
  <c r="A22" i="44"/>
  <c r="B21" i="44"/>
  <c r="E21" i="44" s="1"/>
  <c r="A21" i="44"/>
  <c r="B20" i="44"/>
  <c r="D20" i="44" s="1"/>
  <c r="A20" i="44"/>
  <c r="B19" i="44"/>
  <c r="C19" i="44" s="1"/>
  <c r="A19" i="44"/>
  <c r="B18" i="44"/>
  <c r="C18" i="44" s="1"/>
  <c r="A18" i="44"/>
  <c r="B17" i="44"/>
  <c r="E17" i="44" s="1"/>
  <c r="A17" i="44"/>
  <c r="B16" i="44"/>
  <c r="E16" i="44" s="1"/>
  <c r="A16" i="44"/>
  <c r="B15" i="44"/>
  <c r="C15" i="44" s="1"/>
  <c r="A15" i="44"/>
  <c r="B14" i="44"/>
  <c r="E14" i="44" s="1"/>
  <c r="A14" i="44"/>
  <c r="B13" i="44"/>
  <c r="E13" i="44" s="1"/>
  <c r="A13" i="44"/>
  <c r="B12" i="44"/>
  <c r="E12" i="44" s="1"/>
  <c r="A12" i="44"/>
  <c r="B11" i="44"/>
  <c r="C11" i="44" s="1"/>
  <c r="A11" i="44"/>
  <c r="B10" i="44"/>
  <c r="E10" i="44" s="1"/>
  <c r="A10" i="44"/>
  <c r="B9" i="44"/>
  <c r="E9" i="44" s="1"/>
  <c r="A9" i="44"/>
  <c r="B8" i="44"/>
  <c r="E8" i="44" s="1"/>
  <c r="A8" i="44"/>
  <c r="B7" i="44"/>
  <c r="E7" i="44" s="1"/>
  <c r="A7" i="44"/>
  <c r="B6" i="44"/>
  <c r="C6" i="44" s="1"/>
  <c r="A6" i="44"/>
  <c r="B5" i="44"/>
  <c r="E5" i="44" s="1"/>
  <c r="A5" i="44"/>
  <c r="B4" i="44"/>
  <c r="E4" i="44" s="1"/>
  <c r="A4" i="44"/>
  <c r="B3" i="44"/>
  <c r="E3" i="44" s="1"/>
  <c r="A3" i="44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3" i="40"/>
  <c r="I12" i="40"/>
  <c r="I11" i="40"/>
  <c r="I10" i="40"/>
  <c r="I9" i="40"/>
  <c r="I8" i="40"/>
  <c r="I7" i="40"/>
  <c r="I6" i="40"/>
  <c r="I5" i="40"/>
  <c r="I4" i="40"/>
  <c r="I3" i="40"/>
  <c r="I2" i="40"/>
  <c r="B2" i="35"/>
  <c r="C87" i="43"/>
  <c r="C86" i="43"/>
  <c r="C85" i="43"/>
  <c r="C84" i="43"/>
  <c r="C83" i="43"/>
  <c r="C82" i="43"/>
  <c r="C81" i="43"/>
  <c r="C80" i="43"/>
  <c r="C79" i="43"/>
  <c r="C78" i="43"/>
  <c r="C77" i="43"/>
  <c r="C76" i="43"/>
  <c r="C75" i="43"/>
  <c r="C74" i="43"/>
  <c r="C73" i="43"/>
  <c r="C72" i="43"/>
  <c r="C71" i="43"/>
  <c r="C70" i="43"/>
  <c r="C69" i="43"/>
  <c r="C68" i="43"/>
  <c r="C67" i="43"/>
  <c r="C66" i="43"/>
  <c r="C65" i="43"/>
  <c r="C64" i="43"/>
  <c r="C63" i="43"/>
  <c r="C62" i="43"/>
  <c r="C61" i="43"/>
  <c r="C60" i="43"/>
  <c r="C59" i="43"/>
  <c r="C58" i="43"/>
  <c r="C57" i="43"/>
  <c r="C56" i="43"/>
  <c r="C55" i="43"/>
  <c r="C54" i="43"/>
  <c r="C53" i="43"/>
  <c r="C52" i="43"/>
  <c r="C51" i="43"/>
  <c r="C50" i="43"/>
  <c r="C49" i="43"/>
  <c r="C48" i="43"/>
  <c r="C47" i="43"/>
  <c r="C46" i="43"/>
  <c r="C45" i="43"/>
  <c r="C44" i="43"/>
  <c r="C43" i="43"/>
  <c r="C42" i="43"/>
  <c r="C41" i="43"/>
  <c r="C40" i="43"/>
  <c r="C39" i="43"/>
  <c r="C38" i="43"/>
  <c r="C37" i="43"/>
  <c r="C36" i="43"/>
  <c r="C35" i="43"/>
  <c r="C34" i="43"/>
  <c r="C33" i="43"/>
  <c r="C32" i="43"/>
  <c r="C31" i="43"/>
  <c r="C30" i="43"/>
  <c r="C29" i="43"/>
  <c r="C28" i="43"/>
  <c r="C27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C14" i="43"/>
  <c r="C13" i="43"/>
  <c r="C12" i="43"/>
  <c r="C11" i="43"/>
  <c r="C10" i="43"/>
  <c r="C9" i="43"/>
  <c r="C8" i="43"/>
  <c r="C7" i="43"/>
  <c r="C6" i="43"/>
  <c r="C5" i="43"/>
  <c r="C4" i="43"/>
  <c r="C3" i="43"/>
  <c r="C2" i="43"/>
  <c r="B87" i="43"/>
  <c r="B86" i="43"/>
  <c r="B85" i="43"/>
  <c r="B84" i="43"/>
  <c r="B83" i="43"/>
  <c r="B82" i="43"/>
  <c r="B81" i="43"/>
  <c r="B80" i="43"/>
  <c r="B79" i="43"/>
  <c r="B78" i="43"/>
  <c r="B77" i="43"/>
  <c r="B76" i="43"/>
  <c r="B75" i="43"/>
  <c r="B74" i="43"/>
  <c r="B73" i="43"/>
  <c r="B72" i="43"/>
  <c r="B71" i="43"/>
  <c r="B70" i="43"/>
  <c r="B69" i="43"/>
  <c r="B68" i="43"/>
  <c r="B67" i="43"/>
  <c r="B66" i="43"/>
  <c r="B65" i="43"/>
  <c r="B64" i="43"/>
  <c r="B63" i="43"/>
  <c r="B62" i="43"/>
  <c r="B61" i="43"/>
  <c r="B60" i="43"/>
  <c r="B59" i="43"/>
  <c r="B58" i="43"/>
  <c r="B57" i="43"/>
  <c r="B56" i="43"/>
  <c r="B55" i="43"/>
  <c r="B54" i="43"/>
  <c r="B53" i="43"/>
  <c r="B52" i="43"/>
  <c r="B51" i="43"/>
  <c r="B50" i="43"/>
  <c r="B49" i="43"/>
  <c r="B48" i="43"/>
  <c r="B47" i="43"/>
  <c r="B46" i="43"/>
  <c r="B45" i="43"/>
  <c r="B44" i="43"/>
  <c r="B43" i="43"/>
  <c r="B42" i="43"/>
  <c r="B41" i="43"/>
  <c r="B40" i="43"/>
  <c r="B39" i="43"/>
  <c r="B38" i="43"/>
  <c r="B37" i="43"/>
  <c r="B36" i="43"/>
  <c r="B35" i="43"/>
  <c r="B34" i="43"/>
  <c r="B33" i="43"/>
  <c r="B32" i="43"/>
  <c r="B31" i="43"/>
  <c r="B30" i="43"/>
  <c r="B29" i="43"/>
  <c r="B28" i="43"/>
  <c r="B27" i="43"/>
  <c r="B26" i="43"/>
  <c r="B25" i="43"/>
  <c r="B24" i="43"/>
  <c r="B23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9" i="43"/>
  <c r="B8" i="43"/>
  <c r="B7" i="43"/>
  <c r="B6" i="43"/>
  <c r="B5" i="43"/>
  <c r="B4" i="43"/>
  <c r="B3" i="43"/>
  <c r="B2" i="43"/>
  <c r="I4" i="28"/>
  <c r="I5" i="28" s="1"/>
  <c r="I6" i="28" s="1"/>
  <c r="I7" i="28" s="1"/>
  <c r="I8" i="28" s="1"/>
  <c r="I9" i="28" s="1"/>
  <c r="I10" i="28" s="1"/>
  <c r="I11" i="28" s="1"/>
  <c r="I12" i="28" s="1"/>
  <c r="I13" i="28" s="1"/>
  <c r="I14" i="28" s="1"/>
  <c r="I15" i="28" s="1"/>
  <c r="I16" i="28" s="1"/>
  <c r="I17" i="28" s="1"/>
  <c r="I18" i="28" s="1"/>
  <c r="I19" i="28" s="1"/>
  <c r="I20" i="28" s="1"/>
  <c r="I21" i="28" s="1"/>
  <c r="I22" i="28" s="1"/>
  <c r="I23" i="28" s="1"/>
  <c r="I24" i="28" s="1"/>
  <c r="I25" i="28" s="1"/>
  <c r="I26" i="28" s="1"/>
  <c r="I27" i="28" s="1"/>
  <c r="I28" i="28" s="1"/>
  <c r="I29" i="28" s="1"/>
  <c r="I30" i="28" s="1"/>
  <c r="I31" i="28" s="1"/>
  <c r="I32" i="28" s="1"/>
  <c r="I33" i="28" s="1"/>
  <c r="I34" i="28" s="1"/>
  <c r="I35" i="28" s="1"/>
  <c r="I36" i="28" s="1"/>
  <c r="I37" i="28" s="1"/>
  <c r="I38" i="28" s="1"/>
  <c r="I39" i="28" s="1"/>
  <c r="I40" i="28" s="1"/>
  <c r="I41" i="28" s="1"/>
  <c r="I42" i="28" s="1"/>
  <c r="I43" i="28" s="1"/>
  <c r="I44" i="28" s="1"/>
  <c r="I45" i="28" s="1"/>
  <c r="I46" i="28" s="1"/>
  <c r="I47" i="28" s="1"/>
  <c r="I48" i="28" s="1"/>
  <c r="I49" i="28" s="1"/>
  <c r="I50" i="28" s="1"/>
  <c r="I51" i="28" s="1"/>
  <c r="I52" i="28" s="1"/>
  <c r="I53" i="28" s="1"/>
  <c r="I54" i="28" s="1"/>
  <c r="I55" i="28" s="1"/>
  <c r="I56" i="28" s="1"/>
  <c r="I57" i="28" s="1"/>
  <c r="I58" i="28" s="1"/>
  <c r="I59" i="28" s="1"/>
  <c r="I60" i="28" s="1"/>
  <c r="I61" i="28" s="1"/>
  <c r="I62" i="28" s="1"/>
  <c r="I63" i="28" s="1"/>
  <c r="I64" i="28" s="1"/>
  <c r="I65" i="28" s="1"/>
  <c r="I66" i="28" s="1"/>
  <c r="I67" i="28" s="1"/>
  <c r="I68" i="28" s="1"/>
  <c r="I69" i="28" s="1"/>
  <c r="I70" i="28" s="1"/>
  <c r="I71" i="28" s="1"/>
  <c r="I72" i="28" s="1"/>
  <c r="I73" i="28" s="1"/>
  <c r="I74" i="28" s="1"/>
  <c r="I75" i="28" s="1"/>
  <c r="I76" i="28" s="1"/>
  <c r="I77" i="28" s="1"/>
  <c r="I78" i="28" s="1"/>
  <c r="I79" i="28" s="1"/>
  <c r="I80" i="28" s="1"/>
  <c r="I81" i="28" s="1"/>
  <c r="I3" i="28"/>
  <c r="C3" i="28"/>
  <c r="C4" i="28" s="1"/>
  <c r="C5" i="28" s="1"/>
  <c r="C6" i="28" s="1"/>
  <c r="C7" i="28" s="1"/>
  <c r="C8" i="28" s="1"/>
  <c r="C9" i="28" s="1"/>
  <c r="C10" i="28" s="1"/>
  <c r="C11" i="28" s="1"/>
  <c r="C12" i="28" s="1"/>
  <c r="C13" i="28" s="1"/>
  <c r="C14" i="28" s="1"/>
  <c r="C15" i="28" s="1"/>
  <c r="C16" i="28" s="1"/>
  <c r="C17" i="28" s="1"/>
  <c r="C18" i="28" s="1"/>
  <c r="C19" i="28" s="1"/>
  <c r="C20" i="28" s="1"/>
  <c r="C21" i="28" s="1"/>
  <c r="C22" i="28" s="1"/>
  <c r="C23" i="28" s="1"/>
  <c r="C24" i="28" s="1"/>
  <c r="C25" i="28" s="1"/>
  <c r="C26" i="28" s="1"/>
  <c r="C27" i="28" s="1"/>
  <c r="C28" i="28" s="1"/>
  <c r="C29" i="28" s="1"/>
  <c r="C30" i="28" s="1"/>
  <c r="C31" i="28" s="1"/>
  <c r="C32" i="28" s="1"/>
  <c r="C33" i="28" s="1"/>
  <c r="C34" i="28" s="1"/>
  <c r="C35" i="28" s="1"/>
  <c r="C36" i="28" s="1"/>
  <c r="C37" i="28" s="1"/>
  <c r="C38" i="28" s="1"/>
  <c r="C39" i="28" s="1"/>
  <c r="C40" i="28" s="1"/>
  <c r="C41" i="28" s="1"/>
  <c r="C42" i="28" s="1"/>
  <c r="C43" i="28" s="1"/>
  <c r="C44" i="28" s="1"/>
  <c r="C45" i="28" s="1"/>
  <c r="C46" i="28" s="1"/>
  <c r="C47" i="28" s="1"/>
  <c r="C48" i="28" s="1"/>
  <c r="C49" i="28" s="1"/>
  <c r="C50" i="28" s="1"/>
  <c r="C51" i="28" s="1"/>
  <c r="C52" i="28" s="1"/>
  <c r="C53" i="28" s="1"/>
  <c r="C54" i="28" s="1"/>
  <c r="C55" i="28" s="1"/>
  <c r="C56" i="28" s="1"/>
  <c r="C57" i="28" s="1"/>
  <c r="C58" i="28" s="1"/>
  <c r="C59" i="28" s="1"/>
  <c r="C60" i="28" s="1"/>
  <c r="C61" i="28" s="1"/>
  <c r="C62" i="28" s="1"/>
  <c r="C63" i="28" s="1"/>
  <c r="C64" i="28" s="1"/>
  <c r="C65" i="28" s="1"/>
  <c r="C66" i="28" s="1"/>
  <c r="C67" i="28" s="1"/>
  <c r="C68" i="28" s="1"/>
  <c r="C69" i="28" s="1"/>
  <c r="C70" i="28" s="1"/>
  <c r="C71" i="28" s="1"/>
  <c r="C72" i="28" s="1"/>
  <c r="C73" i="28" s="1"/>
  <c r="C74" i="28" s="1"/>
  <c r="C75" i="28" s="1"/>
  <c r="C76" i="28" s="1"/>
  <c r="C77" i="28" s="1"/>
  <c r="C78" i="28" s="1"/>
  <c r="C79" i="28" s="1"/>
  <c r="C80" i="28" s="1"/>
  <c r="F5" i="28"/>
  <c r="F6" i="28" s="1"/>
  <c r="F7" i="28" s="1"/>
  <c r="F8" i="28" s="1"/>
  <c r="F9" i="28" s="1"/>
  <c r="F10" i="28" s="1"/>
  <c r="F11" i="28" s="1"/>
  <c r="F12" i="28" s="1"/>
  <c r="F13" i="28" s="1"/>
  <c r="F14" i="28" s="1"/>
  <c r="F15" i="28" s="1"/>
  <c r="F16" i="28" s="1"/>
  <c r="F17" i="28" s="1"/>
  <c r="F18" i="28" s="1"/>
  <c r="F19" i="28" s="1"/>
  <c r="F20" i="28" s="1"/>
  <c r="F21" i="28" s="1"/>
  <c r="F22" i="28" s="1"/>
  <c r="F23" i="28" s="1"/>
  <c r="F24" i="28" s="1"/>
  <c r="F25" i="28" s="1"/>
  <c r="F26" i="28" s="1"/>
  <c r="F27" i="28" s="1"/>
  <c r="F28" i="28" s="1"/>
  <c r="F29" i="28" s="1"/>
  <c r="F30" i="28" s="1"/>
  <c r="F31" i="28" s="1"/>
  <c r="F32" i="28" s="1"/>
  <c r="F33" i="28" s="1"/>
  <c r="F34" i="28" s="1"/>
  <c r="F35" i="28" s="1"/>
  <c r="F36" i="28" s="1"/>
  <c r="F37" i="28" s="1"/>
  <c r="F38" i="28" s="1"/>
  <c r="F39" i="28" s="1"/>
  <c r="F40" i="28" s="1"/>
  <c r="F41" i="28" s="1"/>
  <c r="F42" i="28" s="1"/>
  <c r="F43" i="28" s="1"/>
  <c r="F44" i="28" s="1"/>
  <c r="F45" i="28" s="1"/>
  <c r="F46" i="28" s="1"/>
  <c r="F47" i="28" s="1"/>
  <c r="F48" i="28" s="1"/>
  <c r="F49" i="28" s="1"/>
  <c r="F50" i="28" s="1"/>
  <c r="F51" i="28" s="1"/>
  <c r="F52" i="28" s="1"/>
  <c r="F53" i="28" s="1"/>
  <c r="F54" i="28" s="1"/>
  <c r="F55" i="28" s="1"/>
  <c r="F56" i="28" s="1"/>
  <c r="F57" i="28" s="1"/>
  <c r="F58" i="28" s="1"/>
  <c r="F59" i="28" s="1"/>
  <c r="F60" i="28" s="1"/>
  <c r="F61" i="28" s="1"/>
  <c r="F62" i="28" s="1"/>
  <c r="F63" i="28" s="1"/>
  <c r="F64" i="28" s="1"/>
  <c r="F65" i="28" s="1"/>
  <c r="F66" i="28" s="1"/>
  <c r="F67" i="28" s="1"/>
  <c r="F68" i="28" s="1"/>
  <c r="F69" i="28" s="1"/>
  <c r="F70" i="28" s="1"/>
  <c r="F71" i="28" s="1"/>
  <c r="F72" i="28" s="1"/>
  <c r="F73" i="28" s="1"/>
  <c r="F74" i="28" s="1"/>
  <c r="F75" i="28" s="1"/>
  <c r="F76" i="28" s="1"/>
  <c r="F77" i="28" s="1"/>
  <c r="F78" i="28" s="1"/>
  <c r="F79" i="28" s="1"/>
  <c r="F80" i="28" s="1"/>
  <c r="F4" i="28"/>
  <c r="F3" i="28"/>
  <c r="C12" i="44" l="1"/>
  <c r="C22" i="44"/>
  <c r="C38" i="44"/>
  <c r="D18" i="44"/>
  <c r="E26" i="44"/>
  <c r="D35" i="44"/>
  <c r="C40" i="44"/>
  <c r="C32" i="44"/>
  <c r="E20" i="44"/>
  <c r="E34" i="44"/>
  <c r="E44" i="44"/>
  <c r="D19" i="44"/>
  <c r="D6" i="44"/>
  <c r="C7" i="44"/>
  <c r="C8" i="44"/>
  <c r="E18" i="44"/>
  <c r="C24" i="44"/>
  <c r="E28" i="44"/>
  <c r="D42" i="44"/>
  <c r="D43" i="44"/>
  <c r="C46" i="44"/>
  <c r="E6" i="44"/>
  <c r="D7" i="44"/>
  <c r="C10" i="44"/>
  <c r="D26" i="44"/>
  <c r="D27" i="44"/>
  <c r="C30" i="44"/>
  <c r="E36" i="44"/>
  <c r="E42" i="44"/>
  <c r="C3" i="44"/>
  <c r="C4" i="44"/>
  <c r="D10" i="44"/>
  <c r="D11" i="44"/>
  <c r="C14" i="44"/>
  <c r="C16" i="44"/>
  <c r="D22" i="44"/>
  <c r="D23" i="44"/>
  <c r="E24" i="44"/>
  <c r="D30" i="44"/>
  <c r="D31" i="44"/>
  <c r="E32" i="44"/>
  <c r="D38" i="44"/>
  <c r="D39" i="44"/>
  <c r="E40" i="44"/>
  <c r="D46" i="44"/>
  <c r="C47" i="44"/>
  <c r="C48" i="44"/>
  <c r="D3" i="44"/>
  <c r="D14" i="44"/>
  <c r="D15" i="44"/>
  <c r="C20" i="44"/>
  <c r="C28" i="44"/>
  <c r="C34" i="44"/>
  <c r="C36" i="44"/>
  <c r="C44" i="44"/>
  <c r="D47" i="44"/>
  <c r="D4" i="44"/>
  <c r="C5" i="44"/>
  <c r="D8" i="44"/>
  <c r="C9" i="44"/>
  <c r="E11" i="44"/>
  <c r="D12" i="44"/>
  <c r="C13" i="44"/>
  <c r="E15" i="44"/>
  <c r="D16" i="44"/>
  <c r="C17" i="44"/>
  <c r="E19" i="44"/>
  <c r="C21" i="44"/>
  <c r="E23" i="44"/>
  <c r="C25" i="44"/>
  <c r="E27" i="44"/>
  <c r="C29" i="44"/>
  <c r="E31" i="44"/>
  <c r="C33" i="44"/>
  <c r="E35" i="44"/>
  <c r="C37" i="44"/>
  <c r="E39" i="44"/>
  <c r="C41" i="44"/>
  <c r="E43" i="44"/>
  <c r="C45" i="44"/>
  <c r="D48" i="44"/>
  <c r="C49" i="44"/>
  <c r="D5" i="44"/>
  <c r="D9" i="44"/>
  <c r="D13" i="44"/>
  <c r="D17" i="44"/>
  <c r="D21" i="44"/>
  <c r="D25" i="44"/>
  <c r="D29" i="44"/>
  <c r="D33" i="44"/>
  <c r="D37" i="44"/>
  <c r="D41" i="44"/>
  <c r="D45" i="44"/>
  <c r="D49" i="44"/>
  <c r="B2" i="46"/>
  <c r="B2" i="44"/>
  <c r="C2" i="44" s="1"/>
  <c r="D2" i="44" l="1"/>
  <c r="E2" i="44"/>
  <c r="H87" i="43" l="1"/>
  <c r="G87" i="43"/>
  <c r="F87" i="43"/>
  <c r="E87" i="43"/>
  <c r="D87" i="43"/>
  <c r="A87" i="43"/>
  <c r="H86" i="43"/>
  <c r="G86" i="43"/>
  <c r="F86" i="43"/>
  <c r="E86" i="43"/>
  <c r="D86" i="43"/>
  <c r="A86" i="43"/>
  <c r="H85" i="43"/>
  <c r="G85" i="43"/>
  <c r="F85" i="43"/>
  <c r="E85" i="43"/>
  <c r="D85" i="43"/>
  <c r="A85" i="43"/>
  <c r="H84" i="43"/>
  <c r="G84" i="43"/>
  <c r="F84" i="43"/>
  <c r="E84" i="43"/>
  <c r="D84" i="43"/>
  <c r="A84" i="43"/>
  <c r="H83" i="43"/>
  <c r="G83" i="43"/>
  <c r="F83" i="43"/>
  <c r="E83" i="43"/>
  <c r="D83" i="43"/>
  <c r="A83" i="43"/>
  <c r="H82" i="43"/>
  <c r="G82" i="43"/>
  <c r="F82" i="43"/>
  <c r="E82" i="43"/>
  <c r="D82" i="43"/>
  <c r="A82" i="43"/>
  <c r="H81" i="43"/>
  <c r="G81" i="43"/>
  <c r="F81" i="43"/>
  <c r="E81" i="43"/>
  <c r="D81" i="43"/>
  <c r="A81" i="43"/>
  <c r="H80" i="43"/>
  <c r="G80" i="43"/>
  <c r="F80" i="43"/>
  <c r="E80" i="43"/>
  <c r="D80" i="43"/>
  <c r="A80" i="43"/>
  <c r="H79" i="43"/>
  <c r="G79" i="43"/>
  <c r="F79" i="43"/>
  <c r="E79" i="43"/>
  <c r="D79" i="43"/>
  <c r="A79" i="43"/>
  <c r="H78" i="43"/>
  <c r="G78" i="43"/>
  <c r="F78" i="43"/>
  <c r="E78" i="43"/>
  <c r="D78" i="43"/>
  <c r="A78" i="43"/>
  <c r="H77" i="43"/>
  <c r="G77" i="43"/>
  <c r="F77" i="43"/>
  <c r="E77" i="43"/>
  <c r="D77" i="43"/>
  <c r="A77" i="43"/>
  <c r="H76" i="43"/>
  <c r="G76" i="43"/>
  <c r="F76" i="43"/>
  <c r="E76" i="43"/>
  <c r="D76" i="43"/>
  <c r="A76" i="43"/>
  <c r="H75" i="43"/>
  <c r="G75" i="43"/>
  <c r="F75" i="43"/>
  <c r="E75" i="43"/>
  <c r="D75" i="43"/>
  <c r="A75" i="43"/>
  <c r="H74" i="43"/>
  <c r="G74" i="43"/>
  <c r="F74" i="43"/>
  <c r="E74" i="43"/>
  <c r="D74" i="43"/>
  <c r="A74" i="43"/>
  <c r="H73" i="43"/>
  <c r="G73" i="43"/>
  <c r="F73" i="43"/>
  <c r="E73" i="43"/>
  <c r="D73" i="43"/>
  <c r="A73" i="43"/>
  <c r="H72" i="43"/>
  <c r="G72" i="43"/>
  <c r="F72" i="43"/>
  <c r="E72" i="43"/>
  <c r="D72" i="43"/>
  <c r="A72" i="43"/>
  <c r="H71" i="43"/>
  <c r="G71" i="43"/>
  <c r="F71" i="43"/>
  <c r="E71" i="43"/>
  <c r="D71" i="43"/>
  <c r="A71" i="43"/>
  <c r="H70" i="43"/>
  <c r="G70" i="43"/>
  <c r="F70" i="43"/>
  <c r="E70" i="43"/>
  <c r="D70" i="43"/>
  <c r="A70" i="43"/>
  <c r="H69" i="43"/>
  <c r="G69" i="43"/>
  <c r="F69" i="43"/>
  <c r="E69" i="43"/>
  <c r="D69" i="43"/>
  <c r="A69" i="43"/>
  <c r="H68" i="43"/>
  <c r="G68" i="43"/>
  <c r="F68" i="43"/>
  <c r="E68" i="43"/>
  <c r="D68" i="43"/>
  <c r="A68" i="43"/>
  <c r="H67" i="43"/>
  <c r="G67" i="43"/>
  <c r="F67" i="43"/>
  <c r="E67" i="43"/>
  <c r="D67" i="43"/>
  <c r="A67" i="43"/>
  <c r="H66" i="43"/>
  <c r="G66" i="43"/>
  <c r="F66" i="43"/>
  <c r="E66" i="43"/>
  <c r="D66" i="43"/>
  <c r="A66" i="43"/>
  <c r="H65" i="43"/>
  <c r="G65" i="43"/>
  <c r="F65" i="43"/>
  <c r="E65" i="43"/>
  <c r="D65" i="43"/>
  <c r="A65" i="43"/>
  <c r="H64" i="43"/>
  <c r="G64" i="43"/>
  <c r="F64" i="43"/>
  <c r="E64" i="43"/>
  <c r="D64" i="43"/>
  <c r="A64" i="43"/>
  <c r="H63" i="43"/>
  <c r="G63" i="43"/>
  <c r="F63" i="43"/>
  <c r="E63" i="43"/>
  <c r="D63" i="43"/>
  <c r="A63" i="43"/>
  <c r="H62" i="43"/>
  <c r="G62" i="43"/>
  <c r="F62" i="43"/>
  <c r="E62" i="43"/>
  <c r="D62" i="43"/>
  <c r="A62" i="43"/>
  <c r="H61" i="43"/>
  <c r="G61" i="43"/>
  <c r="F61" i="43"/>
  <c r="E61" i="43"/>
  <c r="D61" i="43"/>
  <c r="A61" i="43"/>
  <c r="H60" i="43"/>
  <c r="G60" i="43"/>
  <c r="F60" i="43"/>
  <c r="E60" i="43"/>
  <c r="D60" i="43"/>
  <c r="A60" i="43"/>
  <c r="H59" i="43"/>
  <c r="G59" i="43"/>
  <c r="F59" i="43"/>
  <c r="E59" i="43"/>
  <c r="D59" i="43"/>
  <c r="A59" i="43"/>
  <c r="H58" i="43"/>
  <c r="G58" i="43"/>
  <c r="F58" i="43"/>
  <c r="E58" i="43"/>
  <c r="D58" i="43"/>
  <c r="A58" i="43"/>
  <c r="H57" i="43"/>
  <c r="G57" i="43"/>
  <c r="F57" i="43"/>
  <c r="E57" i="43"/>
  <c r="D57" i="43"/>
  <c r="A57" i="43"/>
  <c r="H56" i="43"/>
  <c r="G56" i="43"/>
  <c r="F56" i="43"/>
  <c r="E56" i="43"/>
  <c r="D56" i="43"/>
  <c r="A56" i="43"/>
  <c r="H55" i="43"/>
  <c r="G55" i="43"/>
  <c r="F55" i="43"/>
  <c r="E55" i="43"/>
  <c r="D55" i="43"/>
  <c r="A55" i="43"/>
  <c r="H54" i="43"/>
  <c r="G54" i="43"/>
  <c r="F54" i="43"/>
  <c r="E54" i="43"/>
  <c r="D54" i="43"/>
  <c r="A54" i="43"/>
  <c r="H53" i="43"/>
  <c r="G53" i="43"/>
  <c r="F53" i="43"/>
  <c r="E53" i="43"/>
  <c r="D53" i="43"/>
  <c r="A53" i="43"/>
  <c r="H52" i="43"/>
  <c r="G52" i="43"/>
  <c r="F52" i="43"/>
  <c r="E52" i="43"/>
  <c r="D52" i="43"/>
  <c r="A52" i="43"/>
  <c r="H51" i="43"/>
  <c r="G51" i="43"/>
  <c r="F51" i="43"/>
  <c r="E51" i="43"/>
  <c r="D51" i="43"/>
  <c r="A51" i="43"/>
  <c r="H50" i="43"/>
  <c r="G50" i="43"/>
  <c r="F50" i="43"/>
  <c r="E50" i="43"/>
  <c r="D50" i="43"/>
  <c r="A50" i="43"/>
  <c r="H49" i="43"/>
  <c r="G49" i="43"/>
  <c r="F49" i="43"/>
  <c r="E49" i="43"/>
  <c r="D49" i="43"/>
  <c r="A49" i="43"/>
  <c r="H48" i="43"/>
  <c r="G48" i="43"/>
  <c r="F48" i="43"/>
  <c r="E48" i="43"/>
  <c r="D48" i="43"/>
  <c r="A48" i="43"/>
  <c r="H47" i="43"/>
  <c r="G47" i="43"/>
  <c r="F47" i="43"/>
  <c r="E47" i="43"/>
  <c r="D47" i="43"/>
  <c r="A47" i="43"/>
  <c r="H46" i="43" l="1"/>
  <c r="G46" i="43"/>
  <c r="F46" i="43"/>
  <c r="E46" i="43"/>
  <c r="D46" i="43"/>
  <c r="A46" i="43"/>
  <c r="H45" i="43"/>
  <c r="G45" i="43"/>
  <c r="F45" i="43"/>
  <c r="E45" i="43"/>
  <c r="D45" i="43"/>
  <c r="A45" i="43"/>
  <c r="H44" i="43"/>
  <c r="G44" i="43"/>
  <c r="F44" i="43"/>
  <c r="E44" i="43"/>
  <c r="D44" i="43"/>
  <c r="A44" i="43"/>
  <c r="H43" i="43"/>
  <c r="G43" i="43"/>
  <c r="F43" i="43"/>
  <c r="E43" i="43"/>
  <c r="D43" i="43"/>
  <c r="A43" i="43"/>
  <c r="H42" i="43"/>
  <c r="G42" i="43"/>
  <c r="F42" i="43"/>
  <c r="E42" i="43"/>
  <c r="D42" i="43"/>
  <c r="A42" i="43"/>
  <c r="H41" i="43"/>
  <c r="G41" i="43"/>
  <c r="F41" i="43"/>
  <c r="E41" i="43"/>
  <c r="D41" i="43"/>
  <c r="A41" i="43"/>
  <c r="H40" i="43"/>
  <c r="G40" i="43"/>
  <c r="F40" i="43"/>
  <c r="E40" i="43"/>
  <c r="D40" i="43"/>
  <c r="A40" i="43"/>
  <c r="H39" i="43"/>
  <c r="G39" i="43"/>
  <c r="F39" i="43"/>
  <c r="E39" i="43"/>
  <c r="D39" i="43"/>
  <c r="A39" i="43"/>
  <c r="H38" i="43"/>
  <c r="G38" i="43"/>
  <c r="F38" i="43"/>
  <c r="E38" i="43"/>
  <c r="D38" i="43"/>
  <c r="A38" i="43"/>
  <c r="H37" i="43"/>
  <c r="G37" i="43"/>
  <c r="F37" i="43"/>
  <c r="E37" i="43"/>
  <c r="D37" i="43"/>
  <c r="A37" i="43"/>
  <c r="H36" i="43"/>
  <c r="G36" i="43"/>
  <c r="F36" i="43"/>
  <c r="E36" i="43"/>
  <c r="D36" i="43"/>
  <c r="A36" i="43"/>
  <c r="H35" i="43"/>
  <c r="G35" i="43"/>
  <c r="F35" i="43"/>
  <c r="E35" i="43"/>
  <c r="D35" i="43"/>
  <c r="A35" i="43"/>
  <c r="H34" i="43"/>
  <c r="G34" i="43"/>
  <c r="F34" i="43"/>
  <c r="E34" i="43"/>
  <c r="D34" i="43"/>
  <c r="A34" i="43"/>
  <c r="H33" i="43"/>
  <c r="G33" i="43"/>
  <c r="F33" i="43"/>
  <c r="E33" i="43"/>
  <c r="D33" i="43"/>
  <c r="A33" i="43"/>
  <c r="H32" i="43"/>
  <c r="G32" i="43"/>
  <c r="F32" i="43"/>
  <c r="E32" i="43"/>
  <c r="D32" i="43"/>
  <c r="A32" i="43"/>
  <c r="H31" i="43"/>
  <c r="G31" i="43"/>
  <c r="F31" i="43"/>
  <c r="E31" i="43"/>
  <c r="D31" i="43"/>
  <c r="A31" i="43"/>
  <c r="H30" i="43"/>
  <c r="G30" i="43"/>
  <c r="F30" i="43"/>
  <c r="E30" i="43"/>
  <c r="D30" i="43"/>
  <c r="A30" i="43"/>
  <c r="H29" i="43"/>
  <c r="G29" i="43"/>
  <c r="F29" i="43"/>
  <c r="E29" i="43"/>
  <c r="D29" i="43"/>
  <c r="A29" i="43"/>
  <c r="H28" i="43"/>
  <c r="G28" i="43"/>
  <c r="F28" i="43"/>
  <c r="E28" i="43"/>
  <c r="D28" i="43"/>
  <c r="A28" i="43"/>
  <c r="H27" i="43"/>
  <c r="G27" i="43"/>
  <c r="F27" i="43"/>
  <c r="E27" i="43"/>
  <c r="D27" i="43"/>
  <c r="A27" i="43"/>
  <c r="H26" i="43"/>
  <c r="G26" i="43"/>
  <c r="F26" i="43"/>
  <c r="E26" i="43"/>
  <c r="D26" i="43"/>
  <c r="A26" i="43"/>
  <c r="H25" i="43"/>
  <c r="G25" i="43"/>
  <c r="F25" i="43"/>
  <c r="E25" i="43"/>
  <c r="D25" i="43"/>
  <c r="A25" i="43"/>
  <c r="H24" i="43"/>
  <c r="G24" i="43"/>
  <c r="F24" i="43"/>
  <c r="E24" i="43"/>
  <c r="D24" i="43"/>
  <c r="A24" i="43"/>
  <c r="H23" i="43"/>
  <c r="G23" i="43"/>
  <c r="F23" i="43"/>
  <c r="E23" i="43"/>
  <c r="D23" i="43"/>
  <c r="A23" i="43"/>
  <c r="H22" i="43"/>
  <c r="G22" i="43"/>
  <c r="F22" i="43"/>
  <c r="E22" i="43"/>
  <c r="D22" i="43"/>
  <c r="A22" i="43"/>
  <c r="H21" i="43"/>
  <c r="G21" i="43"/>
  <c r="F21" i="43"/>
  <c r="E21" i="43"/>
  <c r="D21" i="43"/>
  <c r="A21" i="43"/>
  <c r="H20" i="43"/>
  <c r="G20" i="43"/>
  <c r="F20" i="43"/>
  <c r="E20" i="43"/>
  <c r="D20" i="43"/>
  <c r="A20" i="43"/>
  <c r="H19" i="43"/>
  <c r="G19" i="43"/>
  <c r="F19" i="43"/>
  <c r="E19" i="43"/>
  <c r="D19" i="43"/>
  <c r="A19" i="43"/>
  <c r="H18" i="43"/>
  <c r="G18" i="43"/>
  <c r="F18" i="43"/>
  <c r="E18" i="43"/>
  <c r="D18" i="43"/>
  <c r="A18" i="43"/>
  <c r="H17" i="43"/>
  <c r="G17" i="43"/>
  <c r="F17" i="43"/>
  <c r="E17" i="43"/>
  <c r="D17" i="43"/>
  <c r="A17" i="43"/>
  <c r="H16" i="43"/>
  <c r="G16" i="43"/>
  <c r="F16" i="43"/>
  <c r="E16" i="43"/>
  <c r="D16" i="43"/>
  <c r="A16" i="43"/>
  <c r="H15" i="43"/>
  <c r="G15" i="43"/>
  <c r="F15" i="43"/>
  <c r="E15" i="43"/>
  <c r="D15" i="43"/>
  <c r="A15" i="43"/>
  <c r="H14" i="43"/>
  <c r="G14" i="43"/>
  <c r="F14" i="43"/>
  <c r="E14" i="43"/>
  <c r="D14" i="43"/>
  <c r="A14" i="43"/>
  <c r="H13" i="43"/>
  <c r="G13" i="43"/>
  <c r="F13" i="43"/>
  <c r="E13" i="43"/>
  <c r="D13" i="43"/>
  <c r="A13" i="43"/>
  <c r="H12" i="43"/>
  <c r="G12" i="43"/>
  <c r="F12" i="43"/>
  <c r="E12" i="43"/>
  <c r="D12" i="43"/>
  <c r="A12" i="43"/>
  <c r="H11" i="43"/>
  <c r="G11" i="43"/>
  <c r="F11" i="43"/>
  <c r="E11" i="43"/>
  <c r="D11" i="43"/>
  <c r="A11" i="43"/>
  <c r="H10" i="43"/>
  <c r="G10" i="43"/>
  <c r="F10" i="43"/>
  <c r="E10" i="43"/>
  <c r="D10" i="43"/>
  <c r="A10" i="43"/>
  <c r="H9" i="43"/>
  <c r="G9" i="43"/>
  <c r="F9" i="43"/>
  <c r="E9" i="43"/>
  <c r="D9" i="43"/>
  <c r="A9" i="43"/>
  <c r="H8" i="43"/>
  <c r="G8" i="43"/>
  <c r="F8" i="43"/>
  <c r="E8" i="43"/>
  <c r="D8" i="43"/>
  <c r="A8" i="43"/>
  <c r="H7" i="43"/>
  <c r="G7" i="43"/>
  <c r="F7" i="43"/>
  <c r="E7" i="43"/>
  <c r="D7" i="43"/>
  <c r="A7" i="43"/>
  <c r="H6" i="43"/>
  <c r="G6" i="43"/>
  <c r="F6" i="43"/>
  <c r="E6" i="43"/>
  <c r="D6" i="43"/>
  <c r="A6" i="43"/>
  <c r="H5" i="43"/>
  <c r="G5" i="43"/>
  <c r="F5" i="43"/>
  <c r="E5" i="43"/>
  <c r="D5" i="43"/>
  <c r="A5" i="43"/>
  <c r="H4" i="43"/>
  <c r="G4" i="43"/>
  <c r="F4" i="43"/>
  <c r="E4" i="43"/>
  <c r="D4" i="43"/>
  <c r="A4" i="43"/>
  <c r="H3" i="43"/>
  <c r="G3" i="43"/>
  <c r="F3" i="43"/>
  <c r="E3" i="43"/>
  <c r="D3" i="43"/>
  <c r="A3" i="43"/>
  <c r="L11" i="28"/>
  <c r="K11" i="28"/>
  <c r="J11" i="28"/>
  <c r="C2" i="36" l="1"/>
  <c r="E2" i="20"/>
  <c r="D2" i="20"/>
  <c r="I2" i="17"/>
  <c r="D6" i="39"/>
  <c r="D5" i="39"/>
  <c r="D4" i="39"/>
  <c r="D3" i="39"/>
  <c r="D2" i="39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4" i="40"/>
  <c r="K3" i="40"/>
  <c r="K2" i="40"/>
  <c r="A2" i="44"/>
  <c r="AA13" i="35"/>
  <c r="AA12" i="35"/>
  <c r="AA11" i="35"/>
  <c r="AA10" i="35"/>
  <c r="AA9" i="35"/>
  <c r="AA8" i="35"/>
  <c r="AA7" i="35"/>
  <c r="AA6" i="35"/>
  <c r="AA5" i="35"/>
  <c r="AA4" i="35"/>
  <c r="AA3" i="35"/>
  <c r="AA2" i="35"/>
  <c r="Y13" i="35"/>
  <c r="Y12" i="35"/>
  <c r="Y11" i="35"/>
  <c r="Y10" i="35"/>
  <c r="Y9" i="35"/>
  <c r="Y8" i="35"/>
  <c r="Y7" i="35"/>
  <c r="Y6" i="35"/>
  <c r="Y5" i="35"/>
  <c r="Y4" i="35"/>
  <c r="Y3" i="35"/>
  <c r="Y2" i="35"/>
  <c r="X13" i="35"/>
  <c r="X12" i="35"/>
  <c r="X11" i="35"/>
  <c r="X10" i="35"/>
  <c r="X9" i="35"/>
  <c r="X8" i="35"/>
  <c r="X7" i="35"/>
  <c r="X6" i="35"/>
  <c r="X5" i="35"/>
  <c r="X4" i="35"/>
  <c r="X3" i="35"/>
  <c r="X2" i="35"/>
  <c r="W13" i="35"/>
  <c r="W12" i="35"/>
  <c r="W11" i="35"/>
  <c r="W10" i="35"/>
  <c r="W9" i="35"/>
  <c r="W8" i="35"/>
  <c r="W7" i="35"/>
  <c r="W6" i="35"/>
  <c r="W5" i="35"/>
  <c r="W4" i="35"/>
  <c r="W3" i="35"/>
  <c r="W2" i="35"/>
  <c r="V13" i="35"/>
  <c r="V12" i="35"/>
  <c r="V11" i="35"/>
  <c r="V10" i="35"/>
  <c r="V9" i="35"/>
  <c r="V8" i="35"/>
  <c r="V7" i="35"/>
  <c r="V6" i="35"/>
  <c r="V5" i="35"/>
  <c r="V4" i="35"/>
  <c r="V3" i="35"/>
  <c r="V2" i="35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  <c r="B3" i="27"/>
  <c r="B2" i="27"/>
  <c r="K5" i="38"/>
  <c r="K4" i="38"/>
  <c r="K3" i="38"/>
  <c r="K2" i="38"/>
  <c r="G2" i="43"/>
  <c r="M28" i="40"/>
  <c r="H2" i="43"/>
  <c r="F2" i="43"/>
  <c r="E2" i="43"/>
  <c r="D2" i="43"/>
  <c r="J81" i="28"/>
  <c r="J80" i="28"/>
  <c r="J79" i="28"/>
  <c r="J78" i="28"/>
  <c r="J77" i="28"/>
  <c r="J76" i="28"/>
  <c r="J75" i="28"/>
  <c r="J74" i="28"/>
  <c r="J73" i="28"/>
  <c r="J72" i="28"/>
  <c r="J71" i="28"/>
  <c r="J70" i="28"/>
  <c r="J69" i="28"/>
  <c r="J68" i="28"/>
  <c r="J67" i="28"/>
  <c r="J66" i="28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0" i="28"/>
  <c r="J9" i="28"/>
  <c r="J8" i="28"/>
  <c r="J7" i="28"/>
  <c r="J6" i="28"/>
  <c r="J5" i="28"/>
  <c r="J4" i="28"/>
  <c r="J3" i="28"/>
  <c r="J2" i="28"/>
  <c r="A2" i="43" s="1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0" i="28"/>
  <c r="L9" i="28"/>
  <c r="L8" i="28"/>
  <c r="L7" i="28"/>
  <c r="L6" i="28"/>
  <c r="L5" i="28"/>
  <c r="L4" i="28"/>
  <c r="L3" i="28"/>
  <c r="L2" i="28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3" i="38"/>
  <c r="G2" i="38"/>
  <c r="H28" i="40"/>
  <c r="H27" i="40"/>
  <c r="H26" i="40"/>
  <c r="H25" i="40"/>
  <c r="H24" i="40"/>
  <c r="H23" i="40"/>
  <c r="H22" i="40"/>
  <c r="H21" i="40"/>
  <c r="H20" i="40"/>
  <c r="H19" i="40"/>
  <c r="H18" i="40"/>
  <c r="H17" i="40"/>
  <c r="H16" i="40"/>
  <c r="H15" i="40"/>
  <c r="H14" i="40"/>
  <c r="H13" i="40"/>
  <c r="H12" i="40"/>
  <c r="H11" i="40"/>
  <c r="H10" i="40"/>
  <c r="H9" i="40"/>
  <c r="H8" i="40"/>
  <c r="H7" i="40"/>
  <c r="H6" i="40"/>
  <c r="H5" i="40"/>
  <c r="H4" i="40"/>
  <c r="H3" i="40"/>
  <c r="H2" i="40"/>
  <c r="U13" i="35"/>
  <c r="U12" i="35"/>
  <c r="U11" i="35"/>
  <c r="U10" i="35"/>
  <c r="U9" i="35"/>
  <c r="U8" i="35"/>
  <c r="U7" i="35"/>
  <c r="U6" i="35"/>
  <c r="U5" i="35"/>
  <c r="U4" i="35"/>
  <c r="U3" i="35"/>
  <c r="U2" i="35"/>
  <c r="G28" i="40"/>
  <c r="F28" i="40"/>
  <c r="E28" i="40"/>
  <c r="D28" i="40"/>
  <c r="C28" i="40"/>
  <c r="B28" i="40" s="1"/>
  <c r="A28" i="40"/>
  <c r="G27" i="40"/>
  <c r="F27" i="40"/>
  <c r="E27" i="40"/>
  <c r="D27" i="40"/>
  <c r="C27" i="40"/>
  <c r="B27" i="40" s="1"/>
  <c r="A27" i="40"/>
  <c r="G26" i="40"/>
  <c r="F26" i="40"/>
  <c r="E26" i="40"/>
  <c r="D26" i="40"/>
  <c r="C26" i="40"/>
  <c r="B26" i="40" s="1"/>
  <c r="A26" i="40"/>
  <c r="G25" i="40"/>
  <c r="F25" i="40"/>
  <c r="E25" i="40"/>
  <c r="D25" i="40"/>
  <c r="C25" i="40"/>
  <c r="B25" i="40" s="1"/>
  <c r="A25" i="40"/>
  <c r="G24" i="40"/>
  <c r="F24" i="40"/>
  <c r="E24" i="40"/>
  <c r="D24" i="40"/>
  <c r="C24" i="40"/>
  <c r="B24" i="40" s="1"/>
  <c r="A24" i="40"/>
  <c r="M24" i="40" s="1"/>
  <c r="G23" i="40"/>
  <c r="F23" i="40"/>
  <c r="E23" i="40"/>
  <c r="D23" i="40"/>
  <c r="C23" i="40"/>
  <c r="B23" i="40" s="1"/>
  <c r="A23" i="40"/>
  <c r="G22" i="40"/>
  <c r="F22" i="40"/>
  <c r="E22" i="40"/>
  <c r="D22" i="40"/>
  <c r="C22" i="40"/>
  <c r="B22" i="40" s="1"/>
  <c r="A22" i="40"/>
  <c r="G21" i="40"/>
  <c r="F21" i="40"/>
  <c r="E21" i="40"/>
  <c r="D21" i="40"/>
  <c r="C21" i="40"/>
  <c r="B21" i="40" s="1"/>
  <c r="A21" i="40"/>
  <c r="G20" i="40"/>
  <c r="F20" i="40"/>
  <c r="E20" i="40"/>
  <c r="D20" i="40"/>
  <c r="C20" i="40"/>
  <c r="B20" i="40" s="1"/>
  <c r="A20" i="40"/>
  <c r="M20" i="40" s="1"/>
  <c r="G19" i="40"/>
  <c r="F19" i="40"/>
  <c r="E19" i="40"/>
  <c r="C19" i="40"/>
  <c r="B19" i="40" s="1"/>
  <c r="A19" i="40"/>
  <c r="G18" i="40"/>
  <c r="F18" i="40"/>
  <c r="E18" i="40"/>
  <c r="C18" i="40"/>
  <c r="B18" i="40" s="1"/>
  <c r="A18" i="40"/>
  <c r="G17" i="40"/>
  <c r="F17" i="40"/>
  <c r="E17" i="40"/>
  <c r="C17" i="40"/>
  <c r="B17" i="40" s="1"/>
  <c r="A17" i="40"/>
  <c r="F16" i="40"/>
  <c r="C16" i="40"/>
  <c r="B16" i="40" s="1"/>
  <c r="M16" i="40" s="1"/>
  <c r="A16" i="40"/>
  <c r="C15" i="40"/>
  <c r="B15" i="40" s="1"/>
  <c r="A15" i="40"/>
  <c r="M15" i="40" s="1"/>
  <c r="C14" i="40"/>
  <c r="B14" i="40" s="1"/>
  <c r="A14" i="40"/>
  <c r="C13" i="40"/>
  <c r="B13" i="40" s="1"/>
  <c r="A13" i="40"/>
  <c r="M13" i="40" s="1"/>
  <c r="C12" i="40"/>
  <c r="B12" i="40" s="1"/>
  <c r="M12" i="40" s="1"/>
  <c r="A12" i="40"/>
  <c r="C11" i="40"/>
  <c r="B11" i="40" s="1"/>
  <c r="A11" i="40"/>
  <c r="M11" i="40" s="1"/>
  <c r="C10" i="40"/>
  <c r="B10" i="40" s="1"/>
  <c r="A10" i="40"/>
  <c r="C9" i="40"/>
  <c r="B9" i="40" s="1"/>
  <c r="A9" i="40"/>
  <c r="M9" i="40" s="1"/>
  <c r="C8" i="40"/>
  <c r="B8" i="40" s="1"/>
  <c r="M8" i="40" s="1"/>
  <c r="A8" i="40"/>
  <c r="C7" i="40"/>
  <c r="B7" i="40" s="1"/>
  <c r="A7" i="40"/>
  <c r="M7" i="40" s="1"/>
  <c r="C6" i="40"/>
  <c r="B6" i="40" s="1"/>
  <c r="A6" i="40"/>
  <c r="C5" i="40"/>
  <c r="B5" i="40" s="1"/>
  <c r="A5" i="40"/>
  <c r="M5" i="40" s="1"/>
  <c r="C4" i="40"/>
  <c r="B4" i="40" s="1"/>
  <c r="M4" i="40" s="1"/>
  <c r="A4" i="40"/>
  <c r="C3" i="40"/>
  <c r="B3" i="40" s="1"/>
  <c r="A3" i="40"/>
  <c r="M3" i="40" s="1"/>
  <c r="C2" i="40"/>
  <c r="B2" i="40" s="1"/>
  <c r="A2" i="40"/>
  <c r="T13" i="35"/>
  <c r="S13" i="35"/>
  <c r="R13" i="35"/>
  <c r="O13" i="35"/>
  <c r="N13" i="35"/>
  <c r="M13" i="35"/>
  <c r="K13" i="35"/>
  <c r="J13" i="35"/>
  <c r="I13" i="35"/>
  <c r="H13" i="35"/>
  <c r="G13" i="35"/>
  <c r="F13" i="35"/>
  <c r="C13" i="35"/>
  <c r="A13" i="35"/>
  <c r="B13" i="35"/>
  <c r="T12" i="35"/>
  <c r="S12" i="35"/>
  <c r="R12" i="35"/>
  <c r="O12" i="35"/>
  <c r="N12" i="35"/>
  <c r="M12" i="35"/>
  <c r="K12" i="35"/>
  <c r="J12" i="35"/>
  <c r="I12" i="35"/>
  <c r="H12" i="35"/>
  <c r="G12" i="35"/>
  <c r="F12" i="35"/>
  <c r="C12" i="35"/>
  <c r="A12" i="35"/>
  <c r="B12" i="35"/>
  <c r="T11" i="35"/>
  <c r="S11" i="35"/>
  <c r="R11" i="35"/>
  <c r="O11" i="35"/>
  <c r="N11" i="35"/>
  <c r="M11" i="35"/>
  <c r="K11" i="35"/>
  <c r="J11" i="35"/>
  <c r="I11" i="35"/>
  <c r="H11" i="35"/>
  <c r="G11" i="35"/>
  <c r="F11" i="35"/>
  <c r="C11" i="35"/>
  <c r="A11" i="35"/>
  <c r="B11" i="35"/>
  <c r="T10" i="35"/>
  <c r="S10" i="35"/>
  <c r="R10" i="35"/>
  <c r="O10" i="35"/>
  <c r="N10" i="35"/>
  <c r="M10" i="35"/>
  <c r="K10" i="35"/>
  <c r="J10" i="35"/>
  <c r="I10" i="35"/>
  <c r="H10" i="35"/>
  <c r="G10" i="35"/>
  <c r="F10" i="35"/>
  <c r="C10" i="35"/>
  <c r="A10" i="35"/>
  <c r="B10" i="35"/>
  <c r="T9" i="35"/>
  <c r="S9" i="35"/>
  <c r="R9" i="35"/>
  <c r="O9" i="35"/>
  <c r="N9" i="35"/>
  <c r="M9" i="35"/>
  <c r="K9" i="35"/>
  <c r="J9" i="35"/>
  <c r="I9" i="35"/>
  <c r="H9" i="35"/>
  <c r="G9" i="35"/>
  <c r="F9" i="35"/>
  <c r="C9" i="35"/>
  <c r="A9" i="35"/>
  <c r="B9" i="35"/>
  <c r="T8" i="35"/>
  <c r="S8" i="35"/>
  <c r="R8" i="35"/>
  <c r="O8" i="35"/>
  <c r="N8" i="35"/>
  <c r="M8" i="35"/>
  <c r="K8" i="35"/>
  <c r="J8" i="35"/>
  <c r="I8" i="35"/>
  <c r="H8" i="35"/>
  <c r="G8" i="35"/>
  <c r="F8" i="35"/>
  <c r="C8" i="35"/>
  <c r="A8" i="35"/>
  <c r="B8" i="35"/>
  <c r="T7" i="35"/>
  <c r="S7" i="35"/>
  <c r="R7" i="35"/>
  <c r="O7" i="35"/>
  <c r="N7" i="35"/>
  <c r="M7" i="35"/>
  <c r="K7" i="35"/>
  <c r="J7" i="35"/>
  <c r="I7" i="35"/>
  <c r="H7" i="35"/>
  <c r="G7" i="35"/>
  <c r="F7" i="35"/>
  <c r="C7" i="35"/>
  <c r="A7" i="35"/>
  <c r="B7" i="35"/>
  <c r="T6" i="35"/>
  <c r="S6" i="35"/>
  <c r="R6" i="35"/>
  <c r="O6" i="35"/>
  <c r="N6" i="35"/>
  <c r="M6" i="35"/>
  <c r="K6" i="35"/>
  <c r="J6" i="35"/>
  <c r="I6" i="35"/>
  <c r="H6" i="35"/>
  <c r="G6" i="35"/>
  <c r="F6" i="35"/>
  <c r="C6" i="35"/>
  <c r="A6" i="35"/>
  <c r="B6" i="35"/>
  <c r="T5" i="35"/>
  <c r="S5" i="35"/>
  <c r="R5" i="35"/>
  <c r="O5" i="35"/>
  <c r="N5" i="35"/>
  <c r="M5" i="35"/>
  <c r="K5" i="35"/>
  <c r="J5" i="35"/>
  <c r="I5" i="35"/>
  <c r="H5" i="35"/>
  <c r="G5" i="35"/>
  <c r="F5" i="35"/>
  <c r="C5" i="35"/>
  <c r="A5" i="35"/>
  <c r="B5" i="35"/>
  <c r="T4" i="35"/>
  <c r="S4" i="35"/>
  <c r="R4" i="35"/>
  <c r="O4" i="35"/>
  <c r="N4" i="35"/>
  <c r="M4" i="35"/>
  <c r="K4" i="35"/>
  <c r="J4" i="35"/>
  <c r="I4" i="35"/>
  <c r="H4" i="35"/>
  <c r="G4" i="35"/>
  <c r="F4" i="35"/>
  <c r="C4" i="35"/>
  <c r="A4" i="35"/>
  <c r="B4" i="35"/>
  <c r="T3" i="35"/>
  <c r="S3" i="35"/>
  <c r="R3" i="35"/>
  <c r="O3" i="35"/>
  <c r="N3" i="35"/>
  <c r="M3" i="35"/>
  <c r="K3" i="35"/>
  <c r="J3" i="35"/>
  <c r="I3" i="35"/>
  <c r="H3" i="35"/>
  <c r="G3" i="35"/>
  <c r="F3" i="35"/>
  <c r="C3" i="35"/>
  <c r="A3" i="35"/>
  <c r="B3" i="35"/>
  <c r="A2" i="35"/>
  <c r="C19" i="39"/>
  <c r="D19" i="40" s="1"/>
  <c r="C18" i="39"/>
  <c r="D18" i="40" s="1"/>
  <c r="C17" i="39"/>
  <c r="D17" i="40" s="1"/>
  <c r="C16" i="39"/>
  <c r="D16" i="40" s="1"/>
  <c r="C15" i="39"/>
  <c r="D15" i="40" s="1"/>
  <c r="C14" i="39"/>
  <c r="D14" i="40" s="1"/>
  <c r="C13" i="39"/>
  <c r="D13" i="40" s="1"/>
  <c r="C12" i="39"/>
  <c r="D12" i="40" s="1"/>
  <c r="C11" i="39"/>
  <c r="D11" i="40" s="1"/>
  <c r="C10" i="39"/>
  <c r="D10" i="40" s="1"/>
  <c r="C9" i="39"/>
  <c r="D9" i="40" s="1"/>
  <c r="C8" i="39"/>
  <c r="D8" i="40" s="1"/>
  <c r="C7" i="39"/>
  <c r="D7" i="40" s="1"/>
  <c r="C6" i="39"/>
  <c r="D6" i="40" s="1"/>
  <c r="C5" i="39"/>
  <c r="D5" i="40" s="1"/>
  <c r="C4" i="39"/>
  <c r="D4" i="40" s="1"/>
  <c r="C3" i="39"/>
  <c r="D3" i="40" s="1"/>
  <c r="C2" i="39"/>
  <c r="D2" i="40" s="1"/>
  <c r="R2" i="35"/>
  <c r="S2" i="35"/>
  <c r="T2" i="35"/>
  <c r="C26" i="37"/>
  <c r="B26" i="37"/>
  <c r="A26" i="37"/>
  <c r="C25" i="37"/>
  <c r="B25" i="37"/>
  <c r="A25" i="37"/>
  <c r="C24" i="37"/>
  <c r="B24" i="37"/>
  <c r="A24" i="37"/>
  <c r="C23" i="37"/>
  <c r="B23" i="37"/>
  <c r="A23" i="37"/>
  <c r="C22" i="37"/>
  <c r="B22" i="37"/>
  <c r="A22" i="37"/>
  <c r="C21" i="37"/>
  <c r="B21" i="37"/>
  <c r="A21" i="37"/>
  <c r="C20" i="37"/>
  <c r="B20" i="37"/>
  <c r="A20" i="37"/>
  <c r="C19" i="37"/>
  <c r="B19" i="37"/>
  <c r="A19" i="37"/>
  <c r="C18" i="37"/>
  <c r="B18" i="37"/>
  <c r="A18" i="37"/>
  <c r="C17" i="37"/>
  <c r="B17" i="37"/>
  <c r="A17" i="37"/>
  <c r="C16" i="37"/>
  <c r="B16" i="37"/>
  <c r="A16" i="37"/>
  <c r="C15" i="37"/>
  <c r="B15" i="37"/>
  <c r="A15" i="37"/>
  <c r="C14" i="37"/>
  <c r="B14" i="37"/>
  <c r="A14" i="37"/>
  <c r="C13" i="37"/>
  <c r="B13" i="37"/>
  <c r="A13" i="37"/>
  <c r="C12" i="37"/>
  <c r="B12" i="37"/>
  <c r="A12" i="37"/>
  <c r="C11" i="37"/>
  <c r="B11" i="37"/>
  <c r="A11" i="37"/>
  <c r="C10" i="37"/>
  <c r="B10" i="37"/>
  <c r="A10" i="37"/>
  <c r="C9" i="37"/>
  <c r="B9" i="37"/>
  <c r="A9" i="37"/>
  <c r="C8" i="37"/>
  <c r="B8" i="37"/>
  <c r="A8" i="37"/>
  <c r="C7" i="37"/>
  <c r="B7" i="37"/>
  <c r="A7" i="37"/>
  <c r="C6" i="37"/>
  <c r="B6" i="37"/>
  <c r="A6" i="37"/>
  <c r="C5" i="37"/>
  <c r="B5" i="37"/>
  <c r="A5" i="37"/>
  <c r="C4" i="37"/>
  <c r="B4" i="37"/>
  <c r="A4" i="37"/>
  <c r="C3" i="37"/>
  <c r="B3" i="37"/>
  <c r="A3" i="37"/>
  <c r="H26" i="37"/>
  <c r="G26" i="37"/>
  <c r="F26" i="37"/>
  <c r="E26" i="37"/>
  <c r="H25" i="37"/>
  <c r="G25" i="37"/>
  <c r="F25" i="37"/>
  <c r="E25" i="37"/>
  <c r="H24" i="37"/>
  <c r="G24" i="37"/>
  <c r="F24" i="37"/>
  <c r="E24" i="37"/>
  <c r="H23" i="37"/>
  <c r="G23" i="37"/>
  <c r="F23" i="37"/>
  <c r="E23" i="37"/>
  <c r="H22" i="37"/>
  <c r="G22" i="37"/>
  <c r="F22" i="37"/>
  <c r="E22" i="37"/>
  <c r="H21" i="37"/>
  <c r="G21" i="37"/>
  <c r="F21" i="37"/>
  <c r="E21" i="37"/>
  <c r="H20" i="37"/>
  <c r="G20" i="37"/>
  <c r="F20" i="37"/>
  <c r="E20" i="37"/>
  <c r="H19" i="37"/>
  <c r="G19" i="37"/>
  <c r="F19" i="37"/>
  <c r="E19" i="37"/>
  <c r="H18" i="37"/>
  <c r="G18" i="37"/>
  <c r="F18" i="37"/>
  <c r="E18" i="37"/>
  <c r="H17" i="37"/>
  <c r="G17" i="37"/>
  <c r="F17" i="37"/>
  <c r="E17" i="37"/>
  <c r="H16" i="37"/>
  <c r="G16" i="37"/>
  <c r="F16" i="37"/>
  <c r="E16" i="37"/>
  <c r="H15" i="37"/>
  <c r="G15" i="37"/>
  <c r="F15" i="37"/>
  <c r="E15" i="37"/>
  <c r="H14" i="37"/>
  <c r="G14" i="37"/>
  <c r="F14" i="37"/>
  <c r="E14" i="37"/>
  <c r="H13" i="37"/>
  <c r="G13" i="37"/>
  <c r="F13" i="37"/>
  <c r="E13" i="37"/>
  <c r="H12" i="37"/>
  <c r="G12" i="37"/>
  <c r="F12" i="37"/>
  <c r="E12" i="37"/>
  <c r="H11" i="37"/>
  <c r="G11" i="37"/>
  <c r="F11" i="37"/>
  <c r="E11" i="37"/>
  <c r="H10" i="37"/>
  <c r="G10" i="37"/>
  <c r="F10" i="37"/>
  <c r="E10" i="37"/>
  <c r="H9" i="37"/>
  <c r="G9" i="37"/>
  <c r="F9" i="37"/>
  <c r="E9" i="37"/>
  <c r="H8" i="37"/>
  <c r="G8" i="37"/>
  <c r="F8" i="37"/>
  <c r="E8" i="37"/>
  <c r="H7" i="37"/>
  <c r="C2" i="37"/>
  <c r="B2" i="37"/>
  <c r="A2" i="37"/>
  <c r="C10" i="38"/>
  <c r="C9" i="38"/>
  <c r="C8" i="38"/>
  <c r="C7" i="38"/>
  <c r="C6" i="38"/>
  <c r="C5" i="38"/>
  <c r="C4" i="38"/>
  <c r="C3" i="38"/>
  <c r="C2" i="38"/>
  <c r="B10" i="38"/>
  <c r="B9" i="38"/>
  <c r="B8" i="38"/>
  <c r="B7" i="38"/>
  <c r="B6" i="38"/>
  <c r="B5" i="38"/>
  <c r="B4" i="38"/>
  <c r="B3" i="38"/>
  <c r="B2" i="38"/>
  <c r="I2" i="35"/>
  <c r="K81" i="28"/>
  <c r="K80" i="28"/>
  <c r="K79" i="28"/>
  <c r="K78" i="28"/>
  <c r="K77" i="28"/>
  <c r="K76" i="28"/>
  <c r="K75" i="28"/>
  <c r="K74" i="28"/>
  <c r="K73" i="28"/>
  <c r="K72" i="28"/>
  <c r="K71" i="28"/>
  <c r="K70" i="28"/>
  <c r="K69" i="28"/>
  <c r="K68" i="28"/>
  <c r="K67" i="28"/>
  <c r="K66" i="28"/>
  <c r="K65" i="28"/>
  <c r="K64" i="28"/>
  <c r="K63" i="28"/>
  <c r="K62" i="28"/>
  <c r="K61" i="28"/>
  <c r="K60" i="28"/>
  <c r="K59" i="28"/>
  <c r="K58" i="28"/>
  <c r="K57" i="28"/>
  <c r="K56" i="28"/>
  <c r="K55" i="28"/>
  <c r="K54" i="28"/>
  <c r="K53" i="28"/>
  <c r="K52" i="28"/>
  <c r="K51" i="28"/>
  <c r="K50" i="28"/>
  <c r="K49" i="28"/>
  <c r="K48" i="28"/>
  <c r="K47" i="28"/>
  <c r="K46" i="28"/>
  <c r="K45" i="28"/>
  <c r="K44" i="28"/>
  <c r="K43" i="28"/>
  <c r="K42" i="28"/>
  <c r="K41" i="28"/>
  <c r="K40" i="28"/>
  <c r="K39" i="28"/>
  <c r="K38" i="28"/>
  <c r="K37" i="28"/>
  <c r="K36" i="28"/>
  <c r="K35" i="28"/>
  <c r="K34" i="28"/>
  <c r="K33" i="28"/>
  <c r="K32" i="28"/>
  <c r="K31" i="28"/>
  <c r="K30" i="28"/>
  <c r="K29" i="28"/>
  <c r="K28" i="28"/>
  <c r="K27" i="28"/>
  <c r="K26" i="28"/>
  <c r="K25" i="28"/>
  <c r="K24" i="28"/>
  <c r="K23" i="28"/>
  <c r="K22" i="28"/>
  <c r="K21" i="28"/>
  <c r="K20" i="28"/>
  <c r="K19" i="28"/>
  <c r="K18" i="28"/>
  <c r="K17" i="28"/>
  <c r="K16" i="28"/>
  <c r="K15" i="28"/>
  <c r="K14" i="28"/>
  <c r="K13" i="28"/>
  <c r="K12" i="28"/>
  <c r="K10" i="28"/>
  <c r="K9" i="28"/>
  <c r="K8" i="28"/>
  <c r="K7" i="28"/>
  <c r="K6" i="28"/>
  <c r="K5" i="28"/>
  <c r="K4" i="28"/>
  <c r="K3" i="28"/>
  <c r="K2" i="28"/>
  <c r="O2" i="35"/>
  <c r="N2" i="35"/>
  <c r="H2" i="35"/>
  <c r="G2" i="35"/>
  <c r="F2" i="35"/>
  <c r="C2" i="35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3" i="27"/>
  <c r="D2" i="27"/>
  <c r="I27" i="27"/>
  <c r="H27" i="27"/>
  <c r="G27" i="27"/>
  <c r="I26" i="27"/>
  <c r="H26" i="27"/>
  <c r="G26" i="27"/>
  <c r="I25" i="27"/>
  <c r="H25" i="27"/>
  <c r="G25" i="27"/>
  <c r="I24" i="27"/>
  <c r="H24" i="27"/>
  <c r="G24" i="27"/>
  <c r="I23" i="27"/>
  <c r="H23" i="27"/>
  <c r="G23" i="27"/>
  <c r="I22" i="27"/>
  <c r="H22" i="27"/>
  <c r="G22" i="27"/>
  <c r="I21" i="27"/>
  <c r="H21" i="27"/>
  <c r="G21" i="27"/>
  <c r="I20" i="27"/>
  <c r="H20" i="27"/>
  <c r="G20" i="27"/>
  <c r="I19" i="27"/>
  <c r="H19" i="27"/>
  <c r="G19" i="27"/>
  <c r="I18" i="27"/>
  <c r="H18" i="27"/>
  <c r="G18" i="27"/>
  <c r="I17" i="27"/>
  <c r="H17" i="27"/>
  <c r="G17" i="27"/>
  <c r="I16" i="27"/>
  <c r="H16" i="27"/>
  <c r="G16" i="27"/>
  <c r="I15" i="27"/>
  <c r="H15" i="27"/>
  <c r="G15" i="27"/>
  <c r="I14" i="27"/>
  <c r="H14" i="27"/>
  <c r="G14" i="27"/>
  <c r="I13" i="27"/>
  <c r="H13" i="27"/>
  <c r="G13" i="27"/>
  <c r="I12" i="27"/>
  <c r="H12" i="27"/>
  <c r="G12" i="27"/>
  <c r="I11" i="27"/>
  <c r="H11" i="27"/>
  <c r="G11" i="27"/>
  <c r="I10" i="27"/>
  <c r="H10" i="27"/>
  <c r="G10" i="27"/>
  <c r="I9" i="27"/>
  <c r="H9" i="27"/>
  <c r="G9" i="27"/>
  <c r="I8" i="27"/>
  <c r="H8" i="27"/>
  <c r="G8" i="27"/>
  <c r="I7" i="27"/>
  <c r="H7" i="27"/>
  <c r="G7" i="27"/>
  <c r="I6" i="27"/>
  <c r="H6" i="27"/>
  <c r="G6" i="27"/>
  <c r="I5" i="27"/>
  <c r="H5" i="27"/>
  <c r="I4" i="27"/>
  <c r="C25" i="16"/>
  <c r="B25" i="16"/>
  <c r="A25" i="16"/>
  <c r="C24" i="16"/>
  <c r="B24" i="16"/>
  <c r="A24" i="16"/>
  <c r="C23" i="16"/>
  <c r="B23" i="16"/>
  <c r="A23" i="16"/>
  <c r="C22" i="16"/>
  <c r="B22" i="16"/>
  <c r="A22" i="16"/>
  <c r="C21" i="16"/>
  <c r="B21" i="16"/>
  <c r="A21" i="16"/>
  <c r="C20" i="16"/>
  <c r="B20" i="16"/>
  <c r="A20" i="16"/>
  <c r="C19" i="16"/>
  <c r="B19" i="16"/>
  <c r="A19" i="16"/>
  <c r="C18" i="16"/>
  <c r="B18" i="16"/>
  <c r="A18" i="16"/>
  <c r="C17" i="16"/>
  <c r="B17" i="16"/>
  <c r="A17" i="16"/>
  <c r="C16" i="16"/>
  <c r="B16" i="16"/>
  <c r="A16" i="16"/>
  <c r="C15" i="16"/>
  <c r="B15" i="16"/>
  <c r="A15" i="16"/>
  <c r="C14" i="16"/>
  <c r="B14" i="16"/>
  <c r="A14" i="16"/>
  <c r="C13" i="16"/>
  <c r="B13" i="16"/>
  <c r="A13" i="16"/>
  <c r="C12" i="16"/>
  <c r="B12" i="16"/>
  <c r="A12" i="16"/>
  <c r="C11" i="16"/>
  <c r="B11" i="16"/>
  <c r="A11" i="16"/>
  <c r="C10" i="16"/>
  <c r="B10" i="16"/>
  <c r="A10" i="16"/>
  <c r="C9" i="16"/>
  <c r="B9" i="16"/>
  <c r="A9" i="16"/>
  <c r="C8" i="16"/>
  <c r="B8" i="16"/>
  <c r="A8" i="16"/>
  <c r="C7" i="16"/>
  <c r="B7" i="16"/>
  <c r="A7" i="16"/>
  <c r="C6" i="16"/>
  <c r="B6" i="16"/>
  <c r="A6" i="16"/>
  <c r="C5" i="16"/>
  <c r="B5" i="16"/>
  <c r="A5" i="16"/>
  <c r="C4" i="16"/>
  <c r="B4" i="16"/>
  <c r="A4" i="16"/>
  <c r="C3" i="16"/>
  <c r="B3" i="16"/>
  <c r="A3" i="16"/>
  <c r="C2" i="16"/>
  <c r="B2" i="16"/>
  <c r="C27" i="27"/>
  <c r="A27" i="27"/>
  <c r="C26" i="27"/>
  <c r="A26" i="27"/>
  <c r="C25" i="27"/>
  <c r="A25" i="27"/>
  <c r="C24" i="27"/>
  <c r="A24" i="27"/>
  <c r="C23" i="27"/>
  <c r="A23" i="27"/>
  <c r="C22" i="27"/>
  <c r="A22" i="27"/>
  <c r="C21" i="27"/>
  <c r="A21" i="27"/>
  <c r="C20" i="27"/>
  <c r="A20" i="27"/>
  <c r="C19" i="27"/>
  <c r="A19" i="27"/>
  <c r="C18" i="27"/>
  <c r="A18" i="27"/>
  <c r="C17" i="27"/>
  <c r="A17" i="27"/>
  <c r="C16" i="27"/>
  <c r="A16" i="27"/>
  <c r="C15" i="27"/>
  <c r="A15" i="27"/>
  <c r="C14" i="27"/>
  <c r="A14" i="27"/>
  <c r="C13" i="27"/>
  <c r="A13" i="27"/>
  <c r="C12" i="27"/>
  <c r="A12" i="27"/>
  <c r="C11" i="27"/>
  <c r="A11" i="27"/>
  <c r="C10" i="27"/>
  <c r="A10" i="27"/>
  <c r="C9" i="27"/>
  <c r="A9" i="27"/>
  <c r="C8" i="27"/>
  <c r="A8" i="27"/>
  <c r="C7" i="27"/>
  <c r="A7" i="27"/>
  <c r="C6" i="27"/>
  <c r="A6" i="27"/>
  <c r="C5" i="27"/>
  <c r="A5" i="27"/>
  <c r="C4" i="27"/>
  <c r="A4" i="27"/>
  <c r="C3" i="27"/>
  <c r="A3" i="27"/>
  <c r="A2" i="27"/>
  <c r="C2" i="27"/>
  <c r="A2" i="16"/>
  <c r="M2" i="40" l="1"/>
  <c r="M6" i="40"/>
  <c r="M10" i="40"/>
  <c r="M14" i="40"/>
  <c r="M18" i="40"/>
  <c r="M22" i="40"/>
  <c r="M26" i="40"/>
  <c r="M17" i="40"/>
  <c r="M19" i="40"/>
  <c r="M21" i="40"/>
  <c r="M23" i="40"/>
  <c r="M25" i="40"/>
  <c r="M27" i="40"/>
  <c r="H2" i="37"/>
  <c r="G2" i="37"/>
  <c r="E2" i="37"/>
  <c r="F2" i="40"/>
  <c r="E6" i="40"/>
  <c r="F6" i="40"/>
  <c r="C3" i="36"/>
  <c r="E2" i="27"/>
  <c r="G2" i="20"/>
  <c r="J2" i="35"/>
  <c r="G4" i="40"/>
  <c r="G5" i="40"/>
  <c r="F3" i="40"/>
  <c r="E2" i="40"/>
  <c r="D7" i="39"/>
  <c r="F2" i="37"/>
  <c r="G2" i="40"/>
  <c r="F2" i="27"/>
  <c r="E3" i="40"/>
  <c r="G3" i="40"/>
  <c r="K2" i="35"/>
  <c r="M2" i="35"/>
  <c r="E4" i="40"/>
  <c r="D3" i="20"/>
  <c r="F4" i="40"/>
  <c r="F2" i="20"/>
  <c r="G6" i="40"/>
  <c r="H2" i="20"/>
  <c r="E5" i="40"/>
  <c r="F5" i="40"/>
  <c r="H3" i="37" l="1"/>
  <c r="E7" i="40"/>
  <c r="F3" i="37"/>
  <c r="D9" i="39"/>
  <c r="E3" i="37"/>
  <c r="F7" i="40"/>
  <c r="G3" i="37"/>
  <c r="D10" i="39"/>
  <c r="C4" i="36"/>
  <c r="D8" i="39"/>
  <c r="G7" i="40"/>
  <c r="D11" i="39"/>
  <c r="G3" i="20"/>
  <c r="E3" i="27"/>
  <c r="H2" i="27"/>
  <c r="I2" i="27"/>
  <c r="H3" i="20"/>
  <c r="E3" i="20"/>
  <c r="G2" i="27"/>
  <c r="G9" i="40"/>
  <c r="F11" i="40" l="1"/>
  <c r="G10" i="40"/>
  <c r="E9" i="40"/>
  <c r="F9" i="40"/>
  <c r="E10" i="40"/>
  <c r="F10" i="40"/>
  <c r="F4" i="37"/>
  <c r="C5" i="36"/>
  <c r="H4" i="37"/>
  <c r="G4" i="37"/>
  <c r="E8" i="40"/>
  <c r="E4" i="37"/>
  <c r="F8" i="40"/>
  <c r="G8" i="40"/>
  <c r="I3" i="27"/>
  <c r="E11" i="40"/>
  <c r="G11" i="40"/>
  <c r="D12" i="39"/>
  <c r="G4" i="20"/>
  <c r="E4" i="20"/>
  <c r="H3" i="27"/>
  <c r="F3" i="27"/>
  <c r="F3" i="20"/>
  <c r="C6" i="36"/>
  <c r="F5" i="37" l="1"/>
  <c r="G5" i="37"/>
  <c r="E5" i="37"/>
  <c r="H5" i="37"/>
  <c r="G12" i="40"/>
  <c r="E12" i="40"/>
  <c r="D13" i="39"/>
  <c r="F12" i="40"/>
  <c r="F4" i="27"/>
  <c r="D5" i="20"/>
  <c r="F4" i="20"/>
  <c r="H4" i="27"/>
  <c r="G3" i="27"/>
  <c r="D4" i="20"/>
  <c r="G13" i="40"/>
  <c r="H6" i="37"/>
  <c r="C7" i="36"/>
  <c r="G6" i="37"/>
  <c r="F6" i="37"/>
  <c r="E6" i="37"/>
  <c r="D14" i="39" l="1"/>
  <c r="F13" i="40"/>
  <c r="E13" i="40"/>
  <c r="E4" i="27"/>
  <c r="G4" i="27"/>
  <c r="E5" i="20"/>
  <c r="E5" i="27"/>
  <c r="G7" i="37"/>
  <c r="F7" i="37"/>
  <c r="E7" i="37"/>
  <c r="E14" i="40"/>
  <c r="D15" i="39"/>
  <c r="G14" i="40"/>
  <c r="F14" i="40"/>
  <c r="F5" i="20" l="1"/>
  <c r="F5" i="27"/>
  <c r="G15" i="40"/>
  <c r="F15" i="40"/>
  <c r="E15" i="40"/>
  <c r="D16" i="39"/>
  <c r="G5" i="27" l="1"/>
  <c r="E16" i="40"/>
  <c r="G16" i="40"/>
</calcChain>
</file>

<file path=xl/sharedStrings.xml><?xml version="1.0" encoding="utf-8"?>
<sst xmlns="http://schemas.openxmlformats.org/spreadsheetml/2006/main" count="1607" uniqueCount="339">
  <si>
    <t>File</t>
  </si>
  <si>
    <t>_id</t>
  </si>
  <si>
    <t>name</t>
  </si>
  <si>
    <t>type</t>
  </si>
  <si>
    <t>description</t>
  </si>
  <si>
    <t>region</t>
  </si>
  <si>
    <t>location</t>
  </si>
  <si>
    <t>nextPhase</t>
  </si>
  <si>
    <t>lat</t>
  </si>
  <si>
    <t>long</t>
  </si>
  <si>
    <t>Knob Hill Wind Farm Project</t>
  </si>
  <si>
    <t>Power and Industrial</t>
  </si>
  <si>
    <t>Type</t>
  </si>
  <si>
    <t>Name</t>
  </si>
  <si>
    <t>Phases</t>
  </si>
  <si>
    <t>phases</t>
  </si>
  <si>
    <t>shortName</t>
  </si>
  <si>
    <t>access</t>
  </si>
  <si>
    <t>requirements</t>
  </si>
  <si>
    <t>intake</t>
  </si>
  <si>
    <t>Proponent</t>
  </si>
  <si>
    <t>Pre-EA</t>
  </si>
  <si>
    <t>Evaluation</t>
  </si>
  <si>
    <t>Review</t>
  </si>
  <si>
    <t>Long Name</t>
  </si>
  <si>
    <t>actName</t>
  </si>
  <si>
    <t>projID</t>
  </si>
  <si>
    <t>dateCurrentPhaseEstimatedStart</t>
  </si>
  <si>
    <t>dateCurrentPhaseEstimatedEnd</t>
  </si>
  <si>
    <t>dateNextPhaseEstimatedStart</t>
  </si>
  <si>
    <t>code</t>
  </si>
  <si>
    <t>q</t>
  </si>
  <si>
    <t>a</t>
  </si>
  <si>
    <t>overallProgress</t>
  </si>
  <si>
    <t>Question</t>
  </si>
  <si>
    <t>Response</t>
  </si>
  <si>
    <t>Description</t>
  </si>
  <si>
    <t>Region</t>
  </si>
  <si>
    <t>Location</t>
  </si>
  <si>
    <t>FirstDate</t>
  </si>
  <si>
    <t>Progress</t>
  </si>
  <si>
    <t>knob</t>
  </si>
  <si>
    <t>Comment Period Name</t>
  </si>
  <si>
    <t>Vancouver Island/Coast</t>
  </si>
  <si>
    <t>Knob Hil</t>
  </si>
  <si>
    <t>knobcomment</t>
  </si>
  <si>
    <t>Construction of a new wind farm, with a nominal capacity of 70.5 MW with a preliminary layout of 47 turbines.</t>
  </si>
  <si>
    <t>dateEstimatedStart</t>
  </si>
  <si>
    <t>dateEstimatedEnd</t>
  </si>
  <si>
    <t>dateActualStart</t>
  </si>
  <si>
    <t>dateActualEnd</t>
  </si>
  <si>
    <t>EstStartDate</t>
  </si>
  <si>
    <t>Phase</t>
  </si>
  <si>
    <t>Activity</t>
  </si>
  <si>
    <t>Task</t>
  </si>
  <si>
    <t>Initiate Project</t>
  </si>
  <si>
    <t>Review project description (high Level)</t>
  </si>
  <si>
    <t>Determine appropriate Project Process - Section 10</t>
  </si>
  <si>
    <t>Generate Default Project Template based on above selection</t>
  </si>
  <si>
    <t>KPI PLACEHOLDER</t>
  </si>
  <si>
    <t>Set up Project Space</t>
  </si>
  <si>
    <t>Review and Modify Tasks in Plan</t>
  </si>
  <si>
    <t>Add Milestone Dates to the Plan</t>
  </si>
  <si>
    <t>Create Project Team and Assign roles in System</t>
  </si>
  <si>
    <t>Review and populate Stakeholder Members in System</t>
  </si>
  <si>
    <t>Populate Issue Tracking Table with known issues</t>
  </si>
  <si>
    <t>Populate FNI Tracking Table with known Interests</t>
  </si>
  <si>
    <t>Review and Modify Notification Matrix</t>
  </si>
  <si>
    <t>Approve ProjectSpace for Proponent View</t>
  </si>
  <si>
    <t>Notify Proponent</t>
  </si>
  <si>
    <t>Begin Strength of Claim Process</t>
  </si>
  <si>
    <t xml:space="preserve">Identify First Nations for Consultation </t>
  </si>
  <si>
    <t>Research First Nations Strength of Claim</t>
  </si>
  <si>
    <t>Set Consultation level</t>
  </si>
  <si>
    <t>Amend Stakeholder List</t>
  </si>
  <si>
    <t>Populate Content</t>
  </si>
  <si>
    <t>Create Draft Section 10</t>
  </si>
  <si>
    <t>Create Draft Section 11 Document and Upload to the System</t>
  </si>
  <si>
    <t>Input Initial Value Component Content</t>
  </si>
  <si>
    <t>Input known Issues</t>
  </si>
  <si>
    <t>Add FNI items to FNI List</t>
  </si>
  <si>
    <t>Create Project Description</t>
  </si>
  <si>
    <t>Create Section 10(1)c</t>
  </si>
  <si>
    <t>Pre Application</t>
  </si>
  <si>
    <t>Create and Finalize Section 11 Document</t>
  </si>
  <si>
    <t>If not already complete, Create Draft S11 and Upload</t>
  </si>
  <si>
    <t>Submit for First Nations' Comment</t>
  </si>
  <si>
    <t>Finalize and Approve Document</t>
  </si>
  <si>
    <t>Create Value Components as appropriate</t>
  </si>
  <si>
    <t>Enter Value Component Mandatory Minimum</t>
  </si>
  <si>
    <t>Add Value Components based on information provided through S11</t>
  </si>
  <si>
    <t>Enter Mandatory Minimum information within each Value Component</t>
  </si>
  <si>
    <t>Alert stakeholders</t>
  </si>
  <si>
    <t>Review Value Components</t>
  </si>
  <si>
    <t>Assign Value Components to Working Group Members</t>
  </si>
  <si>
    <t>Approve Value Component Content - in order to progress to next step</t>
  </si>
  <si>
    <t>Create Value Component Document</t>
  </si>
  <si>
    <t>Confirm Working Group Participation</t>
  </si>
  <si>
    <t>Send request to desired Working Group Participants</t>
  </si>
  <si>
    <t>Confirm Participation</t>
  </si>
  <si>
    <t>Update Stakeholder List with confirmed names</t>
  </si>
  <si>
    <t>Ensure Working Group members are assigned to relevant Value Components</t>
  </si>
  <si>
    <t>Create Draft AIR</t>
  </si>
  <si>
    <t>Create AIR</t>
  </si>
  <si>
    <t xml:space="preserve">Create Application </t>
  </si>
  <si>
    <t>Create Table of Concordance</t>
  </si>
  <si>
    <t>Pre-Application Wrap-Up</t>
  </si>
  <si>
    <t>Schedule Evaluation Period</t>
  </si>
  <si>
    <t>Notify Working Group of upcoming Evaluation Period</t>
  </si>
  <si>
    <t>Schedule Working Group Metings as required</t>
  </si>
  <si>
    <t>Initate Evaluation Period</t>
  </si>
  <si>
    <t>Fomally Accept Application</t>
  </si>
  <si>
    <t>Notify / Send Application, AIR, and Table of Concordance to Working Group Members</t>
  </si>
  <si>
    <t>Send Invoice to Proponent</t>
  </si>
  <si>
    <t>Formally Initiate 30 Day Evaluation Period</t>
  </si>
  <si>
    <t>Evaluation Wrap-up</t>
  </si>
  <si>
    <t>Notify Working Group of upcoming Review Period</t>
  </si>
  <si>
    <t>Initate Review Period</t>
  </si>
  <si>
    <t>Notify / Send Application to Working Group Members</t>
  </si>
  <si>
    <t>Public Comment Period</t>
  </si>
  <si>
    <t>initiate Public Comment Period Process</t>
  </si>
  <si>
    <t>Review and Complete Conditions</t>
  </si>
  <si>
    <t>Revise and Finalize Certified Project Description</t>
  </si>
  <si>
    <t>Knob Hill</t>
  </si>
  <si>
    <t>Sea Winds Resources, Inc.</t>
  </si>
  <si>
    <t>currentCommentPeriod</t>
  </si>
  <si>
    <t>proponent</t>
  </si>
  <si>
    <t>completed</t>
  </si>
  <si>
    <t>Completed</t>
  </si>
  <si>
    <t>currentPhase</t>
  </si>
  <si>
    <t>preea</t>
  </si>
  <si>
    <t>preapp</t>
  </si>
  <si>
    <t>eval</t>
  </si>
  <si>
    <t>rev</t>
  </si>
  <si>
    <t>inproj</t>
  </si>
  <si>
    <t>seupps</t>
  </si>
  <si>
    <t>soc</t>
  </si>
  <si>
    <t>popcont</t>
  </si>
  <si>
    <t>crprojdesc</t>
  </si>
  <si>
    <t>crs101c</t>
  </si>
  <si>
    <t>s11</t>
  </si>
  <si>
    <t>valcommm</t>
  </si>
  <si>
    <t>wgpart</t>
  </si>
  <si>
    <t>drftair</t>
  </si>
  <si>
    <t>crair</t>
  </si>
  <si>
    <t>crapp</t>
  </si>
  <si>
    <t>preappwrap</t>
  </si>
  <si>
    <t>evalwrap</t>
  </si>
  <si>
    <t>initeval</t>
  </si>
  <si>
    <t>initrev</t>
  </si>
  <si>
    <t>pubcomm</t>
  </si>
  <si>
    <t>reprdesc</t>
  </si>
  <si>
    <t>apprdesc</t>
  </si>
  <si>
    <t>puprdesc</t>
  </si>
  <si>
    <t>deapp10</t>
  </si>
  <si>
    <t>gedefon</t>
  </si>
  <si>
    <t>kpplaER</t>
  </si>
  <si>
    <t>reandan</t>
  </si>
  <si>
    <t>admilan</t>
  </si>
  <si>
    <t>crproem</t>
  </si>
  <si>
    <t>reandem</t>
  </si>
  <si>
    <t>poisses</t>
  </si>
  <si>
    <t>pofnits</t>
  </si>
  <si>
    <t>reandix</t>
  </si>
  <si>
    <t>approew</t>
  </si>
  <si>
    <t>nopront</t>
  </si>
  <si>
    <t xml:space="preserve">idfirn </t>
  </si>
  <si>
    <t>refirim</t>
  </si>
  <si>
    <t>seconel</t>
  </si>
  <si>
    <t>amstast</t>
  </si>
  <si>
    <t>crdra10</t>
  </si>
  <si>
    <t>crdraem</t>
  </si>
  <si>
    <t>ininint</t>
  </si>
  <si>
    <t>inknoes</t>
  </si>
  <si>
    <t>adfnist</t>
  </si>
  <si>
    <t>ifnotad</t>
  </si>
  <si>
    <t>sufornt</t>
  </si>
  <si>
    <t>fiandnt</t>
  </si>
  <si>
    <t>crvalte</t>
  </si>
  <si>
    <t>adval11</t>
  </si>
  <si>
    <t>enmannt</t>
  </si>
  <si>
    <t>alstars</t>
  </si>
  <si>
    <t>revalts</t>
  </si>
  <si>
    <t>asvalrs</t>
  </si>
  <si>
    <t>apvalep</t>
  </si>
  <si>
    <t>crvalnt</t>
  </si>
  <si>
    <t>sereqts</t>
  </si>
  <si>
    <t>coparon</t>
  </si>
  <si>
    <t>upstaes</t>
  </si>
  <si>
    <t>enworts</t>
  </si>
  <si>
    <t>inpubed</t>
  </si>
  <si>
    <t>movaled</t>
  </si>
  <si>
    <t>crdraed</t>
  </si>
  <si>
    <t>fiandrs</t>
  </si>
  <si>
    <t>noworod</t>
  </si>
  <si>
    <t>scwored</t>
  </si>
  <si>
    <t>foaccon</t>
  </si>
  <si>
    <t>seinvnt</t>
  </si>
  <si>
    <t>coworls</t>
  </si>
  <si>
    <t>foiniod</t>
  </si>
  <si>
    <t>alproed</t>
  </si>
  <si>
    <t>inpubss</t>
  </si>
  <si>
    <t>reandns</t>
  </si>
  <si>
    <t>reandon</t>
  </si>
  <si>
    <t>noprontps</t>
  </si>
  <si>
    <t>fiprs101c</t>
  </si>
  <si>
    <t>apprs101c</t>
  </si>
  <si>
    <t>noprs101c</t>
  </si>
  <si>
    <t>drairss</t>
  </si>
  <si>
    <t>inpubedair</t>
  </si>
  <si>
    <t>movaledair</t>
  </si>
  <si>
    <t>crdraedair</t>
  </si>
  <si>
    <t>fiandrsair</t>
  </si>
  <si>
    <t>crairss</t>
  </si>
  <si>
    <t>crappss</t>
  </si>
  <si>
    <t>crtoc</t>
  </si>
  <si>
    <t>tocSS</t>
  </si>
  <si>
    <t>scevaodpre</t>
  </si>
  <si>
    <t>noworodpre</t>
  </si>
  <si>
    <t>noswgrs</t>
  </si>
  <si>
    <t>coworlsinit</t>
  </si>
  <si>
    <t>foiniod30</t>
  </si>
  <si>
    <t>doappetoc</t>
  </si>
  <si>
    <t>scevaodwrap</t>
  </si>
  <si>
    <t>nosrswg</t>
  </si>
  <si>
    <t>doappnrev</t>
  </si>
  <si>
    <t>scworedpre</t>
  </si>
  <si>
    <t>reprol</t>
  </si>
  <si>
    <t>Project Description Complete</t>
  </si>
  <si>
    <t>Section 10 Complete</t>
  </si>
  <si>
    <t>Draft AIR Complete</t>
  </si>
  <si>
    <t>Section 11 Complete</t>
  </si>
  <si>
    <t>AIR Complete</t>
  </si>
  <si>
    <t>Application Submitted</t>
  </si>
  <si>
    <t>Evaluation Complete</t>
  </si>
  <si>
    <t>Review Complete</t>
  </si>
  <si>
    <t>Application Process Complete</t>
  </si>
  <si>
    <t>preMetRequirements</t>
  </si>
  <si>
    <t>buckets</t>
  </si>
  <si>
    <t>Codes</t>
  </si>
  <si>
    <t>Milestones</t>
  </si>
  <si>
    <t xml:space="preserve"> </t>
  </si>
  <si>
    <t>rg:[]</t>
  </si>
  <si>
    <t>milestones</t>
  </si>
  <si>
    <t>dateStart</t>
  </si>
  <si>
    <t>dateEnd</t>
  </si>
  <si>
    <t>dateUpdated</t>
  </si>
  <si>
    <t>status</t>
  </si>
  <si>
    <t>updatedBy</t>
  </si>
  <si>
    <t>visibility</t>
  </si>
  <si>
    <t>tasks</t>
  </si>
  <si>
    <t>activities</t>
  </si>
  <si>
    <t>Complete</t>
  </si>
  <si>
    <t>Open</t>
  </si>
  <si>
    <t>Activities</t>
  </si>
  <si>
    <t>Notify Proponent about Project Space</t>
  </si>
  <si>
    <t>Approve Project Description</t>
  </si>
  <si>
    <t>Revise Project Description</t>
  </si>
  <si>
    <t>Publish Project Description</t>
  </si>
  <si>
    <t>Finalize Section 10.1C</t>
  </si>
  <si>
    <t>Approve Section 10.1C</t>
  </si>
  <si>
    <t>Notify Section 10.1C</t>
  </si>
  <si>
    <t>Approve Draft AIR</t>
  </si>
  <si>
    <t>Approve AIR</t>
  </si>
  <si>
    <t>Initiate Draft AIR Public Comment Period if Required</t>
  </si>
  <si>
    <t>Modify Value Components, Issues, etc. as Required for Draft AIR</t>
  </si>
  <si>
    <t>Create Draft Conditions as Required based on Draft AIR</t>
  </si>
  <si>
    <t>Finalize and Publish Draft AIR to identified stakeholders</t>
  </si>
  <si>
    <t>Initiate AIR Public Comment Period if Required</t>
  </si>
  <si>
    <t>Modify Value Components, Issues, etc. as Required for AIR</t>
  </si>
  <si>
    <t>Create Draft Conditions as Required based on AIR</t>
  </si>
  <si>
    <t>Finalize and Publish AIR to identified stakeholders</t>
  </si>
  <si>
    <t>Approve Submission of Application</t>
  </si>
  <si>
    <t>Section 11 Review</t>
  </si>
  <si>
    <t>s11rev</t>
  </si>
  <si>
    <t>setors</t>
  </si>
  <si>
    <t>Send to Proponent and identified Stakeholders</t>
  </si>
  <si>
    <t>Confirm Working Group Application, AIR, and Table of Concordance</t>
  </si>
  <si>
    <t>Schedule Application Evaluation Period</t>
  </si>
  <si>
    <t>Schedule Working Group Application Evaluation Meetings as required</t>
  </si>
  <si>
    <t>Confirm Working Group received Application Package of Materials</t>
  </si>
  <si>
    <t>Formally Initiate 180 Day Review Period</t>
  </si>
  <si>
    <t>Alert Proponent/Stakeholders 180 Day Review commenced</t>
  </si>
  <si>
    <t>currentStatusTitle</t>
  </si>
  <si>
    <t>processCode</t>
  </si>
  <si>
    <t>Status</t>
  </si>
  <si>
    <t>Process</t>
  </si>
  <si>
    <t>statusValues</t>
  </si>
  <si>
    <t>data</t>
  </si>
  <si>
    <t>StatusTypes</t>
  </si>
  <si>
    <t>regular</t>
  </si>
  <si>
    <t>notifications</t>
  </si>
  <si>
    <t>In Progress</t>
  </si>
  <si>
    <t>Not Started</t>
  </si>
  <si>
    <t>team</t>
  </si>
  <si>
    <t>deliverables</t>
  </si>
  <si>
    <t>spatial</t>
  </si>
  <si>
    <t>LiliLNorrell@fleckens.hu</t>
  </si>
  <si>
    <t>CaryXSechrist@jourrapide.com</t>
  </si>
  <si>
    <t>Email</t>
  </si>
  <si>
    <t>Group</t>
  </si>
  <si>
    <t>EAO</t>
  </si>
  <si>
    <t>Cary Sechrist</t>
  </si>
  <si>
    <t>eaoonly</t>
  </si>
  <si>
    <t>eaoprop</t>
  </si>
  <si>
    <t>eaowg</t>
  </si>
  <si>
    <t>WG</t>
  </si>
  <si>
    <t>all</t>
  </si>
  <si>
    <t>proponly</t>
  </si>
  <si>
    <t>RandyIConrad@dayrep.com</t>
  </si>
  <si>
    <t>Randy Conrad</t>
  </si>
  <si>
    <t>WilliamSButler@einrot.com</t>
  </si>
  <si>
    <t>CeciliaFBrown@gustr.com</t>
  </si>
  <si>
    <t>RachelJWinston@superrito.com</t>
  </si>
  <si>
    <t>Lili Norrell</t>
  </si>
  <si>
    <t>William Butler</t>
  </si>
  <si>
    <t>Cecilia Brown</t>
  </si>
  <si>
    <t>Rachel Winston</t>
  </si>
  <si>
    <t>SuzanneFBoyd@jourrapide.com</t>
  </si>
  <si>
    <t>LidiaSOtis@einrot.com</t>
  </si>
  <si>
    <t>Lidia Otis</t>
  </si>
  <si>
    <t>Suzanne Boyd</t>
  </si>
  <si>
    <t>EAO Confirm and Modify Value Components created in system</t>
  </si>
  <si>
    <t>Proponent Confirm and Modify Value Components created in system</t>
  </si>
  <si>
    <t>eaocoandem</t>
  </si>
  <si>
    <t>propcoandem</t>
  </si>
  <si>
    <t>Create ToC</t>
  </si>
  <si>
    <t>Approve ToC</t>
  </si>
  <si>
    <t>Approve Application</t>
  </si>
  <si>
    <t>value</t>
  </si>
  <si>
    <t>email</t>
  </si>
  <si>
    <t>Visibility</t>
  </si>
  <si>
    <t>Phase_ID</t>
  </si>
  <si>
    <t>Phase_code</t>
  </si>
  <si>
    <t>Act_code</t>
  </si>
  <si>
    <t>Act_ID</t>
  </si>
  <si>
    <t>Task Code</t>
  </si>
  <si>
    <t>Task ID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</si>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</sst>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5" formatCode="[$-409]d\-mmm\-yy;@"/>
  </numFmts>
  <fonts count="6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4" fillId="0" borderId="0" xfId="0" applyFont="1"/>
    <xf numFmtId="14" fontId="0" fillId="0" borderId="0" xfId="0" applyNumberFormat="1"/>
    <xf numFmtId="165" fontId="0" fillId="0" borderId="0" xfId="0" applyNumberFormat="1"/>
    <xf numFmtId="165" fontId="4" fillId="0" borderId="0" xfId="0" applyNumberFormat="1" applyFont="1"/>
    <xf numFmtId="0" fontId="5" fillId="0" borderId="0" xfId="0" applyFont="1"/>
    <xf numFmtId="1" fontId="0" fillId="0" borderId="0" xfId="0" applyNumberFormat="1"/>
    <xf numFmtId="0" fontId="0" fillId="2" borderId="1" xfId="0" applyFill="1" applyBorder="1" applyAlignment="1">
      <alignment horizontal="left" vertical="center" wrapText="1"/>
    </xf>
  </cellXfs>
  <cellStyles count="3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4" builtinId="8" hidden="1"/>
    <cellStyle name="Hyperlink" xfId="326" builtinId="8" hidden="1"/>
    <cellStyle name="Hyperlink" xfId="328" builtinId="8" hidden="1"/>
    <cellStyle name="Normal" xfId="0" builtinId="0"/>
    <cellStyle name="Normal 2" xfId="32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"/>
  <sheetViews>
    <sheetView workbookViewId="0">
      <selection activeCell="A2" sqref="A2"/>
    </sheetView>
  </sheetViews>
  <sheetFormatPr defaultRowHeight="15.5" x14ac:dyDescent="0.35"/>
  <cols>
    <col min="1" max="1" width="5.9140625" bestFit="1" customWidth="1"/>
    <col min="2" max="2" width="24" bestFit="1" customWidth="1"/>
    <col min="3" max="3" width="9.6640625" bestFit="1" customWidth="1"/>
    <col min="4" max="4" width="17.9140625" bestFit="1" customWidth="1"/>
    <col min="5" max="5" width="27.9140625" customWidth="1"/>
    <col min="6" max="6" width="20.4140625" bestFit="1" customWidth="1"/>
    <col min="7" max="7" width="7.83203125" bestFit="1" customWidth="1"/>
    <col min="8" max="8" width="11.9140625" bestFit="1" customWidth="1"/>
    <col min="9" max="9" width="8.33203125" style="4" bestFit="1" customWidth="1"/>
    <col min="10" max="10" width="8" bestFit="1" customWidth="1"/>
    <col min="11" max="11" width="20.5" bestFit="1" customWidth="1"/>
  </cols>
  <sheetData>
    <row r="1" spans="1:11" s="2" customFormat="1" x14ac:dyDescent="0.35">
      <c r="A1" s="2" t="s">
        <v>26</v>
      </c>
      <c r="B1" s="2" t="s">
        <v>13</v>
      </c>
      <c r="C1" s="2" t="s">
        <v>20</v>
      </c>
      <c r="D1" s="2" t="s">
        <v>12</v>
      </c>
      <c r="E1" s="2" t="s">
        <v>36</v>
      </c>
      <c r="F1" s="2" t="s">
        <v>37</v>
      </c>
      <c r="G1" s="2" t="s">
        <v>38</v>
      </c>
      <c r="H1" s="2" t="s">
        <v>129</v>
      </c>
      <c r="I1" s="5" t="s">
        <v>39</v>
      </c>
      <c r="J1" s="2" t="s">
        <v>40</v>
      </c>
      <c r="K1" s="2" t="s">
        <v>42</v>
      </c>
    </row>
    <row r="2" spans="1:11" x14ac:dyDescent="0.35">
      <c r="A2" t="s">
        <v>41</v>
      </c>
      <c r="B2" t="s">
        <v>10</v>
      </c>
      <c r="D2" t="s">
        <v>11</v>
      </c>
      <c r="E2" t="s">
        <v>46</v>
      </c>
      <c r="F2" t="s">
        <v>43</v>
      </c>
      <c r="G2" t="s">
        <v>44</v>
      </c>
      <c r="H2" t="s">
        <v>22</v>
      </c>
      <c r="I2" s="4">
        <f ca="1">TODAY()-458</f>
        <v>41853</v>
      </c>
      <c r="J2">
        <v>85</v>
      </c>
      <c r="K2" t="s">
        <v>45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opLeftCell="C1" workbookViewId="0">
      <pane ySplit="1" topLeftCell="A2" activePane="bottomLeft" state="frozen"/>
      <selection activeCell="C1" sqref="C1"/>
      <selection pane="bottomLeft" activeCell="C2" sqref="C2"/>
    </sheetView>
  </sheetViews>
  <sheetFormatPr defaultColWidth="10.6640625" defaultRowHeight="15.5" x14ac:dyDescent="0.35"/>
  <cols>
    <col min="1" max="1" width="29.33203125" bestFit="1" customWidth="1"/>
    <col min="2" max="2" width="9.6640625" bestFit="1" customWidth="1"/>
    <col min="3" max="3" width="4.9140625" style="1" bestFit="1" customWidth="1"/>
    <col min="4" max="4" width="26.1640625" customWidth="1"/>
    <col min="5" max="5" width="16.08203125" bestFit="1" customWidth="1"/>
  </cols>
  <sheetData>
    <row r="1" spans="1:5" s="2" customFormat="1" x14ac:dyDescent="0.35">
      <c r="A1" s="2" t="s">
        <v>16</v>
      </c>
      <c r="B1" s="2" t="s">
        <v>2</v>
      </c>
      <c r="C1" s="2" t="s">
        <v>0</v>
      </c>
      <c r="D1" s="2" t="s">
        <v>34</v>
      </c>
      <c r="E1" s="2" t="s">
        <v>35</v>
      </c>
    </row>
    <row r="2" spans="1:5" x14ac:dyDescent="0.35">
      <c r="A2" t="s">
        <v>25</v>
      </c>
      <c r="B2" t="s">
        <v>24</v>
      </c>
      <c r="C2" s="1" t="s">
        <v>41</v>
      </c>
      <c r="D2" s="6" t="s">
        <v>13</v>
      </c>
      <c r="E2" t="s">
        <v>10</v>
      </c>
    </row>
    <row r="3" spans="1:5" x14ac:dyDescent="0.35">
      <c r="C3" s="1" t="s">
        <v>41</v>
      </c>
      <c r="D3" s="6" t="s">
        <v>20</v>
      </c>
      <c r="E3" t="s">
        <v>124</v>
      </c>
    </row>
    <row r="4" spans="1:5" x14ac:dyDescent="0.35">
      <c r="C4" s="1" t="s">
        <v>41</v>
      </c>
      <c r="D4" s="6" t="s">
        <v>12</v>
      </c>
      <c r="E4" t="s">
        <v>11</v>
      </c>
    </row>
    <row r="5" spans="1:5" x14ac:dyDescent="0.35">
      <c r="C5" s="1" t="s">
        <v>41</v>
      </c>
      <c r="D5" s="6" t="s">
        <v>36</v>
      </c>
      <c r="E5" t="s">
        <v>46</v>
      </c>
    </row>
    <row r="6" spans="1:5" x14ac:dyDescent="0.35">
      <c r="C6" s="1" t="s">
        <v>41</v>
      </c>
      <c r="D6" s="6" t="s">
        <v>37</v>
      </c>
      <c r="E6" t="s">
        <v>43</v>
      </c>
    </row>
    <row r="7" spans="1:5" x14ac:dyDescent="0.35">
      <c r="C7" s="1" t="s">
        <v>41</v>
      </c>
      <c r="D7" s="6" t="s">
        <v>38</v>
      </c>
      <c r="E7" t="s">
        <v>123</v>
      </c>
    </row>
  </sheetData>
  <pageMargins left="0.75" right="0.75" top="1" bottom="1" header="0.5" footer="0.5"/>
  <pageSetup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" max="1" width="4.9140625" bestFit="1" customWidth="1"/>
    <col min="2" max="2" width="14.9140625" bestFit="1" customWidth="1"/>
    <col min="3" max="3" width="9.83203125" bestFit="1" customWidth="1"/>
    <col min="4" max="4" width="14.9140625" bestFit="1" customWidth="1"/>
    <col min="5" max="5" width="16.75" bestFit="1" customWidth="1"/>
    <col min="6" max="6" width="16" bestFit="1" customWidth="1"/>
    <col min="7" max="7" width="13.75" bestFit="1" customWidth="1"/>
    <col min="8" max="8" width="13" bestFit="1" customWidth="1"/>
  </cols>
  <sheetData>
    <row r="1" spans="1:8" s="2" customFormat="1" x14ac:dyDescent="0.35">
      <c r="A1" s="2" t="s">
        <v>0</v>
      </c>
      <c r="B1" t="s">
        <v>13</v>
      </c>
      <c r="C1" t="s">
        <v>128</v>
      </c>
      <c r="D1" t="s">
        <v>51</v>
      </c>
      <c r="E1" t="s">
        <v>47</v>
      </c>
      <c r="F1" t="s">
        <v>48</v>
      </c>
      <c r="G1" t="s">
        <v>49</v>
      </c>
      <c r="H1" t="s">
        <v>50</v>
      </c>
    </row>
    <row r="2" spans="1:8" x14ac:dyDescent="0.35">
      <c r="A2" t="s">
        <v>41</v>
      </c>
      <c r="B2" t="s">
        <v>21</v>
      </c>
      <c r="C2">
        <v>100</v>
      </c>
      <c r="D2" s="3">
        <f ca="1">TODAY()-500</f>
        <v>41811</v>
      </c>
      <c r="E2" s="3">
        <f ca="1">TODAY()-500</f>
        <v>41811</v>
      </c>
      <c r="F2" s="3">
        <f ca="1">E2+93</f>
        <v>41904</v>
      </c>
      <c r="G2" s="3">
        <f ca="1">E2</f>
        <v>41811</v>
      </c>
      <c r="H2" s="3">
        <f ca="1">E2+81</f>
        <v>41892</v>
      </c>
    </row>
    <row r="3" spans="1:8" x14ac:dyDescent="0.35">
      <c r="A3" t="s">
        <v>41</v>
      </c>
      <c r="B3" t="s">
        <v>83</v>
      </c>
      <c r="C3">
        <v>100</v>
      </c>
      <c r="D3" s="3">
        <f ca="1">E2</f>
        <v>41811</v>
      </c>
      <c r="E3" s="3">
        <f ca="1">F2</f>
        <v>41904</v>
      </c>
      <c r="F3" s="3">
        <f ca="1">E3+300</f>
        <v>42204</v>
      </c>
      <c r="G3" s="3">
        <f ca="1">H2</f>
        <v>41892</v>
      </c>
      <c r="H3" s="3">
        <f ca="1">G3+281</f>
        <v>42173</v>
      </c>
    </row>
    <row r="4" spans="1:8" x14ac:dyDescent="0.35">
      <c r="A4" t="s">
        <v>41</v>
      </c>
      <c r="B4" t="s">
        <v>22</v>
      </c>
      <c r="C4">
        <v>65</v>
      </c>
      <c r="D4" s="3">
        <f ca="1">F3</f>
        <v>42204</v>
      </c>
      <c r="E4" s="3">
        <f ca="1">G3</f>
        <v>41892</v>
      </c>
      <c r="F4" s="3">
        <f ca="1">E4+745</f>
        <v>42637</v>
      </c>
      <c r="G4" s="3">
        <f ca="1">H3</f>
        <v>42173</v>
      </c>
    </row>
    <row r="5" spans="1:8" x14ac:dyDescent="0.35">
      <c r="A5" t="s">
        <v>41</v>
      </c>
      <c r="B5" t="s">
        <v>23</v>
      </c>
      <c r="C5">
        <v>0</v>
      </c>
      <c r="D5" s="3">
        <f ca="1">E4</f>
        <v>41892</v>
      </c>
      <c r="E5" s="3">
        <f ca="1">F4</f>
        <v>42637</v>
      </c>
      <c r="F5" s="3">
        <f ca="1">E5+30+180+45</f>
        <v>42892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pane ySplit="1" topLeftCell="A2" activePane="bottomLeft" state="frozen"/>
      <selection pane="bottomLeft" activeCell="B10" sqref="B10"/>
    </sheetView>
  </sheetViews>
  <sheetFormatPr defaultRowHeight="15.5" x14ac:dyDescent="0.35"/>
  <cols>
    <col min="1" max="1" width="4.9140625" bestFit="1" customWidth="1"/>
    <col min="2" max="2" width="25.5" bestFit="1" customWidth="1"/>
    <col min="3" max="3" width="14.9140625" bestFit="1" customWidth="1"/>
    <col min="4" max="4" width="16" style="7" bestFit="1" customWidth="1"/>
    <col min="5" max="5" width="13.75" style="7" bestFit="1" customWidth="1"/>
    <col min="6" max="6" width="13" style="7" bestFit="1" customWidth="1"/>
  </cols>
  <sheetData>
    <row r="1" spans="1:6" s="2" customFormat="1" x14ac:dyDescent="0.35">
      <c r="A1" s="2" t="s">
        <v>0</v>
      </c>
      <c r="B1" t="s">
        <v>13</v>
      </c>
      <c r="C1" t="s">
        <v>47</v>
      </c>
      <c r="D1" s="7" t="s">
        <v>48</v>
      </c>
      <c r="E1" s="7" t="s">
        <v>49</v>
      </c>
      <c r="F1" s="7" t="s">
        <v>50</v>
      </c>
    </row>
    <row r="2" spans="1:6" x14ac:dyDescent="0.35">
      <c r="A2" t="s">
        <v>41</v>
      </c>
      <c r="B2" t="s">
        <v>228</v>
      </c>
      <c r="C2" s="3">
        <f ca="1">TODAY()-500</f>
        <v>41811</v>
      </c>
      <c r="D2" s="7">
        <v>21</v>
      </c>
      <c r="E2" s="7">
        <v>0</v>
      </c>
      <c r="F2" s="7">
        <v>23</v>
      </c>
    </row>
    <row r="3" spans="1:6" x14ac:dyDescent="0.35">
      <c r="A3" t="s">
        <v>41</v>
      </c>
      <c r="B3" t="s">
        <v>229</v>
      </c>
      <c r="C3" s="3">
        <f ca="1">C2+D2</f>
        <v>41832</v>
      </c>
      <c r="D3" s="7">
        <v>42</v>
      </c>
      <c r="E3" s="7">
        <v>8</v>
      </c>
      <c r="F3" s="7">
        <v>40</v>
      </c>
    </row>
    <row r="4" spans="1:6" x14ac:dyDescent="0.35">
      <c r="A4" t="s">
        <v>41</v>
      </c>
      <c r="B4" t="s">
        <v>231</v>
      </c>
      <c r="C4" s="3">
        <f ca="1">C3+D3</f>
        <v>41874</v>
      </c>
      <c r="D4" s="7">
        <v>40</v>
      </c>
      <c r="E4" s="7">
        <v>16</v>
      </c>
      <c r="F4" s="7">
        <v>64</v>
      </c>
    </row>
    <row r="5" spans="1:6" x14ac:dyDescent="0.35">
      <c r="A5" t="s">
        <v>41</v>
      </c>
      <c r="B5" t="s">
        <v>230</v>
      </c>
      <c r="C5" s="3">
        <f ca="1">C4+D4</f>
        <v>41914</v>
      </c>
      <c r="D5" s="7">
        <v>30</v>
      </c>
      <c r="E5" s="7">
        <v>40</v>
      </c>
      <c r="F5" s="7">
        <v>75</v>
      </c>
    </row>
    <row r="6" spans="1:6" x14ac:dyDescent="0.35">
      <c r="A6" t="s">
        <v>41</v>
      </c>
      <c r="B6" t="s">
        <v>232</v>
      </c>
      <c r="C6" s="3">
        <f ca="1">C5+D5</f>
        <v>41944</v>
      </c>
      <c r="D6" s="7">
        <v>50</v>
      </c>
      <c r="E6" s="7">
        <v>55</v>
      </c>
      <c r="F6" s="7">
        <v>123</v>
      </c>
    </row>
    <row r="7" spans="1:6" x14ac:dyDescent="0.35">
      <c r="A7" t="s">
        <v>41</v>
      </c>
      <c r="B7" t="s">
        <v>233</v>
      </c>
      <c r="C7" s="3">
        <f ca="1">C6+D6+700</f>
        <v>42694</v>
      </c>
      <c r="D7" s="7">
        <v>30</v>
      </c>
      <c r="E7" s="7">
        <v>154</v>
      </c>
    </row>
    <row r="8" spans="1:6" x14ac:dyDescent="0.35">
      <c r="A8" t="s">
        <v>41</v>
      </c>
      <c r="B8" t="s">
        <v>234</v>
      </c>
      <c r="C8" s="3"/>
    </row>
    <row r="9" spans="1:6" x14ac:dyDescent="0.35">
      <c r="A9" t="s">
        <v>41</v>
      </c>
      <c r="B9" t="s">
        <v>235</v>
      </c>
    </row>
    <row r="10" spans="1:6" x14ac:dyDescent="0.35">
      <c r="A10" t="s">
        <v>41</v>
      </c>
      <c r="B10" t="s">
        <v>236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9"/>
  <sheetViews>
    <sheetView topLeftCell="C1" workbookViewId="0">
      <selection activeCell="J1" sqref="J1:J1048576"/>
    </sheetView>
  </sheetViews>
  <sheetFormatPr defaultRowHeight="15.5" x14ac:dyDescent="0.35"/>
  <cols>
    <col min="1" max="1" width="4.9140625" bestFit="1" customWidth="1"/>
    <col min="2" max="3" width="39.25" bestFit="1" customWidth="1"/>
    <col min="4" max="4" width="9.25" bestFit="1" customWidth="1"/>
    <col min="5" max="5" width="7.6640625" bestFit="1" customWidth="1"/>
    <col min="6" max="6" width="11.6640625" bestFit="1" customWidth="1"/>
    <col min="8" max="8" width="9.75" bestFit="1" customWidth="1"/>
    <col min="9" max="9" width="2.5" bestFit="1" customWidth="1"/>
    <col min="11" max="11" width="18.58203125" bestFit="1" customWidth="1"/>
  </cols>
  <sheetData>
    <row r="1" spans="1:12" x14ac:dyDescent="0.35">
      <c r="A1" t="s">
        <v>0</v>
      </c>
      <c r="B1" t="s">
        <v>2</v>
      </c>
      <c r="C1" t="s">
        <v>4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338</v>
      </c>
      <c r="J1" t="s">
        <v>249</v>
      </c>
      <c r="K1" t="s">
        <v>237</v>
      </c>
      <c r="L1" t="s">
        <v>250</v>
      </c>
    </row>
    <row r="2" spans="1:12" x14ac:dyDescent="0.35">
      <c r="A2" t="s">
        <v>41</v>
      </c>
      <c r="B2" t="s">
        <v>55</v>
      </c>
      <c r="C2" t="str">
        <f>B2</f>
        <v>Initiate Project</v>
      </c>
      <c r="D2" s="3">
        <f ca="1">TODAY()-500</f>
        <v>41811</v>
      </c>
      <c r="E2">
        <v>0</v>
      </c>
      <c r="F2">
        <v>0</v>
      </c>
      <c r="G2" t="s">
        <v>252</v>
      </c>
      <c r="H2" t="s">
        <v>297</v>
      </c>
      <c r="I2">
        <v>4</v>
      </c>
      <c r="J2" t="s">
        <v>303</v>
      </c>
    </row>
    <row r="3" spans="1:12" x14ac:dyDescent="0.35">
      <c r="A3" t="s">
        <v>41</v>
      </c>
      <c r="B3" t="s">
        <v>60</v>
      </c>
      <c r="C3" t="str">
        <f t="shared" ref="C3:C19" si="0">B3</f>
        <v>Set up Project Space</v>
      </c>
      <c r="D3" s="3">
        <f ca="1">TODAY()-500</f>
        <v>41811</v>
      </c>
      <c r="E3">
        <v>0</v>
      </c>
      <c r="F3">
        <v>0</v>
      </c>
      <c r="G3" t="s">
        <v>252</v>
      </c>
      <c r="H3" t="s">
        <v>297</v>
      </c>
      <c r="I3">
        <v>4</v>
      </c>
      <c r="J3" t="s">
        <v>303</v>
      </c>
    </row>
    <row r="4" spans="1:12" x14ac:dyDescent="0.35">
      <c r="A4" t="s">
        <v>41</v>
      </c>
      <c r="B4" t="s">
        <v>70</v>
      </c>
      <c r="C4" t="str">
        <f t="shared" si="0"/>
        <v>Begin Strength of Claim Process</v>
      </c>
      <c r="D4" s="3">
        <f ca="1">TODAY()-500</f>
        <v>41811</v>
      </c>
      <c r="E4">
        <v>23</v>
      </c>
      <c r="F4">
        <v>23</v>
      </c>
      <c r="G4" t="s">
        <v>252</v>
      </c>
      <c r="H4" t="s">
        <v>297</v>
      </c>
      <c r="I4">
        <v>4</v>
      </c>
      <c r="J4" t="s">
        <v>303</v>
      </c>
    </row>
    <row r="5" spans="1:12" x14ac:dyDescent="0.35">
      <c r="A5" t="s">
        <v>41</v>
      </c>
      <c r="B5" t="s">
        <v>75</v>
      </c>
      <c r="C5" t="str">
        <f t="shared" si="0"/>
        <v>Populate Content</v>
      </c>
      <c r="D5" s="3">
        <f ca="1">TODAY()-500</f>
        <v>41811</v>
      </c>
      <c r="E5">
        <v>15</v>
      </c>
      <c r="F5">
        <v>15</v>
      </c>
      <c r="G5" t="s">
        <v>252</v>
      </c>
      <c r="H5" t="s">
        <v>297</v>
      </c>
      <c r="I5">
        <v>4</v>
      </c>
      <c r="J5" t="s">
        <v>303</v>
      </c>
    </row>
    <row r="6" spans="1:12" x14ac:dyDescent="0.35">
      <c r="A6" t="s">
        <v>41</v>
      </c>
      <c r="B6" t="s">
        <v>81</v>
      </c>
      <c r="C6" t="str">
        <f t="shared" si="0"/>
        <v>Create Project Description</v>
      </c>
      <c r="D6" s="3">
        <f ca="1">TODAY()-500</f>
        <v>41811</v>
      </c>
      <c r="E6">
        <v>45</v>
      </c>
      <c r="F6">
        <v>45</v>
      </c>
      <c r="G6" t="s">
        <v>252</v>
      </c>
      <c r="H6" t="s">
        <v>298</v>
      </c>
      <c r="I6">
        <v>2</v>
      </c>
      <c r="J6" t="s">
        <v>308</v>
      </c>
    </row>
    <row r="7" spans="1:12" x14ac:dyDescent="0.35">
      <c r="A7" t="s">
        <v>41</v>
      </c>
      <c r="B7" t="s">
        <v>82</v>
      </c>
      <c r="C7" t="str">
        <f t="shared" si="0"/>
        <v>Create Section 10(1)c</v>
      </c>
      <c r="D7" s="3">
        <f ca="1">D6+E6</f>
        <v>41856</v>
      </c>
      <c r="E7">
        <v>23</v>
      </c>
      <c r="F7">
        <v>23</v>
      </c>
      <c r="G7" t="s">
        <v>252</v>
      </c>
      <c r="H7" t="s">
        <v>297</v>
      </c>
      <c r="I7">
        <v>4</v>
      </c>
      <c r="J7" t="s">
        <v>303</v>
      </c>
    </row>
    <row r="8" spans="1:12" x14ac:dyDescent="0.35">
      <c r="A8" t="s">
        <v>41</v>
      </c>
      <c r="B8" t="s">
        <v>84</v>
      </c>
      <c r="C8" t="str">
        <f t="shared" si="0"/>
        <v>Create and Finalize Section 11 Document</v>
      </c>
      <c r="D8" s="3">
        <f ca="1">D7+E7</f>
        <v>41879</v>
      </c>
      <c r="E8">
        <v>67</v>
      </c>
      <c r="F8">
        <v>67</v>
      </c>
      <c r="G8" t="s">
        <v>252</v>
      </c>
      <c r="H8" t="s">
        <v>297</v>
      </c>
      <c r="I8">
        <v>4</v>
      </c>
      <c r="J8" t="s">
        <v>303</v>
      </c>
    </row>
    <row r="9" spans="1:12" x14ac:dyDescent="0.35">
      <c r="A9" t="s">
        <v>41</v>
      </c>
      <c r="B9" t="s">
        <v>89</v>
      </c>
      <c r="C9" t="str">
        <f t="shared" si="0"/>
        <v>Enter Value Component Mandatory Minimum</v>
      </c>
      <c r="D9" s="3">
        <f ca="1">D7+E7</f>
        <v>41879</v>
      </c>
      <c r="E9">
        <v>25</v>
      </c>
      <c r="F9">
        <v>25</v>
      </c>
      <c r="G9" t="s">
        <v>252</v>
      </c>
      <c r="H9" t="s">
        <v>297</v>
      </c>
      <c r="I9">
        <v>4</v>
      </c>
      <c r="J9" t="s">
        <v>303</v>
      </c>
    </row>
    <row r="10" spans="1:12" x14ac:dyDescent="0.35">
      <c r="A10" t="s">
        <v>41</v>
      </c>
      <c r="B10" t="s">
        <v>97</v>
      </c>
      <c r="C10" t="str">
        <f t="shared" si="0"/>
        <v>Confirm Working Group Participation</v>
      </c>
      <c r="D10" s="3">
        <f ca="1">D7+E7</f>
        <v>41879</v>
      </c>
      <c r="E10">
        <v>15</v>
      </c>
      <c r="F10">
        <v>15</v>
      </c>
      <c r="G10" t="s">
        <v>252</v>
      </c>
      <c r="H10" t="s">
        <v>297</v>
      </c>
      <c r="I10">
        <v>4</v>
      </c>
      <c r="J10" t="s">
        <v>303</v>
      </c>
    </row>
    <row r="11" spans="1:12" x14ac:dyDescent="0.35">
      <c r="A11" t="s">
        <v>41</v>
      </c>
      <c r="B11" t="s">
        <v>102</v>
      </c>
      <c r="C11" t="str">
        <f t="shared" si="0"/>
        <v>Create Draft AIR</v>
      </c>
      <c r="D11" s="3">
        <f ca="1">D7+E7</f>
        <v>41879</v>
      </c>
      <c r="E11">
        <v>34</v>
      </c>
      <c r="F11">
        <v>34</v>
      </c>
      <c r="G11" t="s">
        <v>252</v>
      </c>
      <c r="H11" t="s">
        <v>297</v>
      </c>
      <c r="I11">
        <v>4</v>
      </c>
      <c r="J11" t="s">
        <v>308</v>
      </c>
    </row>
    <row r="12" spans="1:12" x14ac:dyDescent="0.35">
      <c r="A12" t="s">
        <v>41</v>
      </c>
      <c r="B12" t="s">
        <v>103</v>
      </c>
      <c r="C12" t="str">
        <f t="shared" si="0"/>
        <v>Create AIR</v>
      </c>
      <c r="D12" s="3">
        <f ca="1">D11+E11</f>
        <v>41913</v>
      </c>
      <c r="E12">
        <v>67</v>
      </c>
      <c r="F12">
        <v>67</v>
      </c>
      <c r="G12" t="s">
        <v>252</v>
      </c>
      <c r="H12" t="s">
        <v>298</v>
      </c>
      <c r="I12">
        <v>2</v>
      </c>
      <c r="J12" t="s">
        <v>308</v>
      </c>
    </row>
    <row r="13" spans="1:12" x14ac:dyDescent="0.35">
      <c r="A13" t="s">
        <v>41</v>
      </c>
      <c r="B13" t="s">
        <v>104</v>
      </c>
      <c r="C13" t="str">
        <f t="shared" si="0"/>
        <v xml:space="preserve">Create Application </v>
      </c>
      <c r="D13" s="3">
        <f ca="1">D12+E12</f>
        <v>41980</v>
      </c>
      <c r="E13">
        <v>423</v>
      </c>
      <c r="F13">
        <v>423</v>
      </c>
      <c r="G13" t="s">
        <v>252</v>
      </c>
      <c r="H13" t="s">
        <v>298</v>
      </c>
      <c r="I13">
        <v>2</v>
      </c>
      <c r="J13" t="s">
        <v>308</v>
      </c>
    </row>
    <row r="14" spans="1:12" x14ac:dyDescent="0.35">
      <c r="A14" t="s">
        <v>41</v>
      </c>
      <c r="B14" t="s">
        <v>105</v>
      </c>
      <c r="C14" t="str">
        <f t="shared" si="0"/>
        <v>Create Table of Concordance</v>
      </c>
      <c r="D14" s="3">
        <f ca="1">D13+E13</f>
        <v>42403</v>
      </c>
      <c r="E14">
        <v>28</v>
      </c>
      <c r="F14">
        <v>28</v>
      </c>
      <c r="G14" t="s">
        <v>252</v>
      </c>
      <c r="H14" t="s">
        <v>297</v>
      </c>
      <c r="I14">
        <v>4</v>
      </c>
      <c r="J14" t="s">
        <v>303</v>
      </c>
    </row>
    <row r="15" spans="1:12" x14ac:dyDescent="0.35">
      <c r="A15" t="s">
        <v>41</v>
      </c>
      <c r="B15" t="s">
        <v>106</v>
      </c>
      <c r="C15" t="str">
        <f t="shared" si="0"/>
        <v>Pre-Application Wrap-Up</v>
      </c>
      <c r="D15" s="3">
        <f ca="1">D14+E14</f>
        <v>42431</v>
      </c>
      <c r="E15">
        <v>5</v>
      </c>
      <c r="F15">
        <v>5</v>
      </c>
      <c r="G15" t="s">
        <v>252</v>
      </c>
      <c r="H15" t="s">
        <v>297</v>
      </c>
      <c r="I15">
        <v>4</v>
      </c>
      <c r="J15" t="s">
        <v>304</v>
      </c>
    </row>
    <row r="16" spans="1:12" x14ac:dyDescent="0.35">
      <c r="A16" t="s">
        <v>41</v>
      </c>
      <c r="B16" t="s">
        <v>110</v>
      </c>
      <c r="C16" t="str">
        <f t="shared" si="0"/>
        <v>Initate Evaluation Period</v>
      </c>
      <c r="D16" s="3">
        <f ca="1">D15+E15</f>
        <v>42436</v>
      </c>
      <c r="F16">
        <v>5</v>
      </c>
      <c r="G16" t="s">
        <v>253</v>
      </c>
      <c r="H16" t="s">
        <v>297</v>
      </c>
      <c r="I16">
        <v>4</v>
      </c>
      <c r="J16" t="s">
        <v>307</v>
      </c>
    </row>
    <row r="17" spans="1:3" x14ac:dyDescent="0.35">
      <c r="A17" t="s">
        <v>41</v>
      </c>
      <c r="B17" t="s">
        <v>115</v>
      </c>
      <c r="C17" t="str">
        <f t="shared" si="0"/>
        <v>Evaluation Wrap-up</v>
      </c>
    </row>
    <row r="18" spans="1:3" x14ac:dyDescent="0.35">
      <c r="A18" t="s">
        <v>41</v>
      </c>
      <c r="B18" t="s">
        <v>117</v>
      </c>
      <c r="C18" t="str">
        <f t="shared" si="0"/>
        <v>Initate Review Period</v>
      </c>
    </row>
    <row r="19" spans="1:3" x14ac:dyDescent="0.35">
      <c r="A19" t="s">
        <v>41</v>
      </c>
      <c r="B19" t="s">
        <v>119</v>
      </c>
      <c r="C19" t="str">
        <f t="shared" si="0"/>
        <v>Public Comment Period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81"/>
  <sheetViews>
    <sheetView workbookViewId="0">
      <selection activeCell="B78" sqref="B78"/>
    </sheetView>
  </sheetViews>
  <sheetFormatPr defaultRowHeight="15.5" x14ac:dyDescent="0.35"/>
  <cols>
    <col min="2" max="2" width="72.08203125" bestFit="1" customWidth="1"/>
    <col min="3" max="3" width="8.75" bestFit="1" customWidth="1"/>
    <col min="4" max="4" width="11.08203125" bestFit="1" customWidth="1"/>
    <col min="5" max="5" width="10.58203125" bestFit="1" customWidth="1"/>
  </cols>
  <sheetData>
    <row r="1" spans="1:5" x14ac:dyDescent="0.35">
      <c r="B1" t="s">
        <v>54</v>
      </c>
      <c r="C1" t="s">
        <v>285</v>
      </c>
      <c r="D1" t="s">
        <v>286</v>
      </c>
      <c r="E1" t="s">
        <v>289</v>
      </c>
    </row>
    <row r="2" spans="1:5" x14ac:dyDescent="0.35">
      <c r="A2" t="s">
        <v>41</v>
      </c>
      <c r="B2" t="s">
        <v>56</v>
      </c>
      <c r="C2" t="s">
        <v>252</v>
      </c>
      <c r="D2" t="s">
        <v>291</v>
      </c>
      <c r="E2" t="s">
        <v>290</v>
      </c>
    </row>
    <row r="3" spans="1:5" x14ac:dyDescent="0.35">
      <c r="A3" t="s">
        <v>41</v>
      </c>
      <c r="B3" t="s">
        <v>57</v>
      </c>
      <c r="C3" t="s">
        <v>252</v>
      </c>
      <c r="D3" t="s">
        <v>291</v>
      </c>
      <c r="E3" t="s">
        <v>290</v>
      </c>
    </row>
    <row r="4" spans="1:5" x14ac:dyDescent="0.35">
      <c r="A4" t="s">
        <v>41</v>
      </c>
      <c r="B4" t="s">
        <v>58</v>
      </c>
      <c r="C4" t="s">
        <v>252</v>
      </c>
      <c r="D4" t="s">
        <v>291</v>
      </c>
      <c r="E4" t="s">
        <v>290</v>
      </c>
    </row>
    <row r="5" spans="1:5" x14ac:dyDescent="0.35">
      <c r="A5" t="s">
        <v>41</v>
      </c>
      <c r="B5" t="s">
        <v>59</v>
      </c>
      <c r="C5" t="s">
        <v>252</v>
      </c>
      <c r="D5" t="s">
        <v>291</v>
      </c>
      <c r="E5" t="s">
        <v>290</v>
      </c>
    </row>
    <row r="6" spans="1:5" x14ac:dyDescent="0.35">
      <c r="A6" t="s">
        <v>41</v>
      </c>
      <c r="B6" t="s">
        <v>61</v>
      </c>
      <c r="C6" t="s">
        <v>252</v>
      </c>
      <c r="D6" t="s">
        <v>291</v>
      </c>
      <c r="E6" t="s">
        <v>290</v>
      </c>
    </row>
    <row r="7" spans="1:5" x14ac:dyDescent="0.35">
      <c r="A7" t="s">
        <v>41</v>
      </c>
      <c r="B7" t="s">
        <v>62</v>
      </c>
      <c r="C7" t="s">
        <v>252</v>
      </c>
      <c r="D7" t="s">
        <v>291</v>
      </c>
      <c r="E7" t="s">
        <v>290</v>
      </c>
    </row>
    <row r="8" spans="1:5" x14ac:dyDescent="0.35">
      <c r="A8" t="s">
        <v>41</v>
      </c>
      <c r="B8" t="s">
        <v>63</v>
      </c>
      <c r="C8" t="s">
        <v>252</v>
      </c>
      <c r="D8" t="s">
        <v>291</v>
      </c>
      <c r="E8" t="s">
        <v>290</v>
      </c>
    </row>
    <row r="9" spans="1:5" x14ac:dyDescent="0.35">
      <c r="A9" t="s">
        <v>41</v>
      </c>
      <c r="B9" t="s">
        <v>64</v>
      </c>
      <c r="C9" t="s">
        <v>252</v>
      </c>
      <c r="D9" t="s">
        <v>291</v>
      </c>
      <c r="E9" t="s">
        <v>290</v>
      </c>
    </row>
    <row r="10" spans="1:5" x14ac:dyDescent="0.35">
      <c r="A10" t="s">
        <v>41</v>
      </c>
      <c r="B10" t="s">
        <v>322</v>
      </c>
      <c r="C10" t="s">
        <v>252</v>
      </c>
      <c r="D10" t="s">
        <v>291</v>
      </c>
      <c r="E10" t="s">
        <v>290</v>
      </c>
    </row>
    <row r="11" spans="1:5" x14ac:dyDescent="0.35">
      <c r="A11" t="s">
        <v>41</v>
      </c>
      <c r="B11" t="s">
        <v>323</v>
      </c>
      <c r="C11" t="s">
        <v>252</v>
      </c>
      <c r="D11" t="s">
        <v>291</v>
      </c>
      <c r="E11" t="s">
        <v>290</v>
      </c>
    </row>
    <row r="12" spans="1:5" x14ac:dyDescent="0.35">
      <c r="A12" t="s">
        <v>41</v>
      </c>
      <c r="B12" t="s">
        <v>65</v>
      </c>
      <c r="C12" t="s">
        <v>252</v>
      </c>
      <c r="D12" t="s">
        <v>291</v>
      </c>
      <c r="E12" t="s">
        <v>290</v>
      </c>
    </row>
    <row r="13" spans="1:5" x14ac:dyDescent="0.35">
      <c r="A13" t="s">
        <v>41</v>
      </c>
      <c r="B13" t="s">
        <v>66</v>
      </c>
      <c r="C13" t="s">
        <v>252</v>
      </c>
      <c r="D13" t="s">
        <v>291</v>
      </c>
      <c r="E13" t="s">
        <v>290</v>
      </c>
    </row>
    <row r="14" spans="1:5" x14ac:dyDescent="0.35">
      <c r="A14" t="s">
        <v>41</v>
      </c>
      <c r="B14" t="s">
        <v>67</v>
      </c>
      <c r="C14" t="s">
        <v>252</v>
      </c>
      <c r="D14" t="s">
        <v>291</v>
      </c>
      <c r="E14" t="s">
        <v>290</v>
      </c>
    </row>
    <row r="15" spans="1:5" x14ac:dyDescent="0.35">
      <c r="A15" t="s">
        <v>41</v>
      </c>
      <c r="B15" t="s">
        <v>68</v>
      </c>
      <c r="C15" t="s">
        <v>252</v>
      </c>
      <c r="D15" t="s">
        <v>291</v>
      </c>
      <c r="E15" t="s">
        <v>290</v>
      </c>
    </row>
    <row r="16" spans="1:5" x14ac:dyDescent="0.35">
      <c r="A16" t="s">
        <v>41</v>
      </c>
      <c r="B16" t="s">
        <v>255</v>
      </c>
      <c r="C16" t="s">
        <v>252</v>
      </c>
      <c r="D16" t="s">
        <v>291</v>
      </c>
      <c r="E16" t="s">
        <v>290</v>
      </c>
    </row>
    <row r="17" spans="1:5" x14ac:dyDescent="0.35">
      <c r="A17" t="s">
        <v>41</v>
      </c>
      <c r="B17" t="s">
        <v>71</v>
      </c>
      <c r="C17" t="s">
        <v>252</v>
      </c>
      <c r="D17" t="s">
        <v>291</v>
      </c>
      <c r="E17" t="s">
        <v>290</v>
      </c>
    </row>
    <row r="18" spans="1:5" x14ac:dyDescent="0.35">
      <c r="A18" t="s">
        <v>41</v>
      </c>
      <c r="B18" t="s">
        <v>72</v>
      </c>
      <c r="C18" t="s">
        <v>252</v>
      </c>
      <c r="D18" t="s">
        <v>291</v>
      </c>
      <c r="E18" t="s">
        <v>290</v>
      </c>
    </row>
    <row r="19" spans="1:5" x14ac:dyDescent="0.35">
      <c r="A19" t="s">
        <v>41</v>
      </c>
      <c r="B19" t="s">
        <v>73</v>
      </c>
      <c r="C19" t="s">
        <v>252</v>
      </c>
      <c r="D19" t="s">
        <v>291</v>
      </c>
      <c r="E19" t="s">
        <v>290</v>
      </c>
    </row>
    <row r="20" spans="1:5" x14ac:dyDescent="0.35">
      <c r="A20" t="s">
        <v>41</v>
      </c>
      <c r="B20" t="s">
        <v>74</v>
      </c>
      <c r="C20" t="s">
        <v>252</v>
      </c>
      <c r="D20" t="s">
        <v>291</v>
      </c>
      <c r="E20" t="s">
        <v>290</v>
      </c>
    </row>
    <row r="21" spans="1:5" x14ac:dyDescent="0.35">
      <c r="A21" t="s">
        <v>41</v>
      </c>
      <c r="B21" t="s">
        <v>76</v>
      </c>
      <c r="C21" t="s">
        <v>252</v>
      </c>
      <c r="D21" t="s">
        <v>291</v>
      </c>
      <c r="E21" t="s">
        <v>290</v>
      </c>
    </row>
    <row r="22" spans="1:5" x14ac:dyDescent="0.35">
      <c r="A22" t="s">
        <v>41</v>
      </c>
      <c r="B22" t="s">
        <v>77</v>
      </c>
      <c r="C22" t="s">
        <v>252</v>
      </c>
      <c r="D22" t="s">
        <v>291</v>
      </c>
      <c r="E22" t="s">
        <v>290</v>
      </c>
    </row>
    <row r="23" spans="1:5" x14ac:dyDescent="0.35">
      <c r="A23" t="s">
        <v>41</v>
      </c>
      <c r="B23" t="s">
        <v>78</v>
      </c>
      <c r="C23" t="s">
        <v>252</v>
      </c>
      <c r="D23" t="s">
        <v>291</v>
      </c>
      <c r="E23" t="s">
        <v>290</v>
      </c>
    </row>
    <row r="24" spans="1:5" x14ac:dyDescent="0.35">
      <c r="A24" t="s">
        <v>41</v>
      </c>
      <c r="B24" t="s">
        <v>79</v>
      </c>
      <c r="C24" t="s">
        <v>252</v>
      </c>
      <c r="D24" t="s">
        <v>291</v>
      </c>
      <c r="E24" t="s">
        <v>290</v>
      </c>
    </row>
    <row r="25" spans="1:5" x14ac:dyDescent="0.35">
      <c r="A25" t="s">
        <v>41</v>
      </c>
      <c r="B25" t="s">
        <v>80</v>
      </c>
      <c r="C25" t="s">
        <v>252</v>
      </c>
      <c r="D25" t="s">
        <v>291</v>
      </c>
      <c r="E25" t="s">
        <v>290</v>
      </c>
    </row>
    <row r="26" spans="1:5" x14ac:dyDescent="0.35">
      <c r="A26" t="s">
        <v>41</v>
      </c>
      <c r="B26" t="s">
        <v>257</v>
      </c>
      <c r="C26" t="s">
        <v>252</v>
      </c>
      <c r="D26" t="s">
        <v>291</v>
      </c>
      <c r="E26" t="s">
        <v>290</v>
      </c>
    </row>
    <row r="27" spans="1:5" x14ac:dyDescent="0.35">
      <c r="A27" t="s">
        <v>41</v>
      </c>
      <c r="B27" t="s">
        <v>256</v>
      </c>
      <c r="C27" t="s">
        <v>252</v>
      </c>
      <c r="D27" t="s">
        <v>291</v>
      </c>
      <c r="E27" t="s">
        <v>290</v>
      </c>
    </row>
    <row r="28" spans="1:5" x14ac:dyDescent="0.35">
      <c r="A28" t="s">
        <v>41</v>
      </c>
      <c r="B28" t="s">
        <v>258</v>
      </c>
      <c r="C28" t="s">
        <v>252</v>
      </c>
      <c r="D28" t="s">
        <v>291</v>
      </c>
      <c r="E28" t="s">
        <v>290</v>
      </c>
    </row>
    <row r="29" spans="1:5" x14ac:dyDescent="0.35">
      <c r="A29" t="s">
        <v>41</v>
      </c>
      <c r="B29" t="s">
        <v>259</v>
      </c>
      <c r="C29" t="s">
        <v>252</v>
      </c>
      <c r="D29" t="s">
        <v>291</v>
      </c>
      <c r="E29" t="s">
        <v>290</v>
      </c>
    </row>
    <row r="30" spans="1:5" x14ac:dyDescent="0.35">
      <c r="A30" t="s">
        <v>41</v>
      </c>
      <c r="B30" t="s">
        <v>260</v>
      </c>
      <c r="C30" t="s">
        <v>252</v>
      </c>
      <c r="D30" t="s">
        <v>291</v>
      </c>
      <c r="E30" t="s">
        <v>290</v>
      </c>
    </row>
    <row r="31" spans="1:5" x14ac:dyDescent="0.35">
      <c r="A31" t="s">
        <v>41</v>
      </c>
      <c r="B31" t="s">
        <v>261</v>
      </c>
      <c r="C31" t="s">
        <v>252</v>
      </c>
      <c r="D31" t="s">
        <v>291</v>
      </c>
      <c r="E31" t="s">
        <v>290</v>
      </c>
    </row>
    <row r="32" spans="1:5" x14ac:dyDescent="0.35">
      <c r="A32" t="s">
        <v>41</v>
      </c>
      <c r="B32" t="s">
        <v>85</v>
      </c>
      <c r="C32" t="s">
        <v>252</v>
      </c>
      <c r="D32" t="s">
        <v>291</v>
      </c>
      <c r="E32" t="s">
        <v>290</v>
      </c>
    </row>
    <row r="33" spans="1:5" x14ac:dyDescent="0.35">
      <c r="A33" t="s">
        <v>41</v>
      </c>
      <c r="B33" t="s">
        <v>86</v>
      </c>
      <c r="C33" t="s">
        <v>252</v>
      </c>
      <c r="D33" t="s">
        <v>291</v>
      </c>
      <c r="E33" t="s">
        <v>290</v>
      </c>
    </row>
    <row r="34" spans="1:5" x14ac:dyDescent="0.35">
      <c r="A34" t="s">
        <v>41</v>
      </c>
      <c r="B34" t="s">
        <v>273</v>
      </c>
      <c r="C34" t="s">
        <v>252</v>
      </c>
      <c r="D34" t="s">
        <v>291</v>
      </c>
      <c r="E34" t="s">
        <v>290</v>
      </c>
    </row>
    <row r="35" spans="1:5" x14ac:dyDescent="0.35">
      <c r="A35" t="s">
        <v>41</v>
      </c>
      <c r="B35" t="s">
        <v>87</v>
      </c>
      <c r="C35" t="s">
        <v>252</v>
      </c>
      <c r="D35" t="s">
        <v>291</v>
      </c>
      <c r="E35" t="s">
        <v>290</v>
      </c>
    </row>
    <row r="36" spans="1:5" x14ac:dyDescent="0.35">
      <c r="A36" t="s">
        <v>41</v>
      </c>
      <c r="B36" t="s">
        <v>88</v>
      </c>
      <c r="C36" t="s">
        <v>252</v>
      </c>
      <c r="D36" t="s">
        <v>291</v>
      </c>
      <c r="E36" t="s">
        <v>290</v>
      </c>
    </row>
    <row r="37" spans="1:5" x14ac:dyDescent="0.35">
      <c r="A37" t="s">
        <v>41</v>
      </c>
      <c r="B37" t="s">
        <v>69</v>
      </c>
      <c r="C37" t="s">
        <v>252</v>
      </c>
      <c r="D37" t="s">
        <v>291</v>
      </c>
      <c r="E37" t="s">
        <v>290</v>
      </c>
    </row>
    <row r="38" spans="1:5" x14ac:dyDescent="0.35">
      <c r="A38" t="s">
        <v>41</v>
      </c>
      <c r="B38" t="s">
        <v>276</v>
      </c>
      <c r="C38" t="s">
        <v>252</v>
      </c>
      <c r="D38" t="s">
        <v>291</v>
      </c>
      <c r="E38" t="s">
        <v>290</v>
      </c>
    </row>
    <row r="39" spans="1:5" x14ac:dyDescent="0.35">
      <c r="A39" t="s">
        <v>41</v>
      </c>
      <c r="B39" t="s">
        <v>90</v>
      </c>
      <c r="C39" t="s">
        <v>252</v>
      </c>
      <c r="D39" t="s">
        <v>291</v>
      </c>
      <c r="E39" t="s">
        <v>290</v>
      </c>
    </row>
    <row r="40" spans="1:5" x14ac:dyDescent="0.35">
      <c r="A40" t="s">
        <v>41</v>
      </c>
      <c r="B40" t="s">
        <v>91</v>
      </c>
      <c r="C40" t="s">
        <v>252</v>
      </c>
      <c r="D40" t="s">
        <v>291</v>
      </c>
      <c r="E40" t="s">
        <v>290</v>
      </c>
    </row>
    <row r="41" spans="1:5" x14ac:dyDescent="0.35">
      <c r="A41" t="s">
        <v>41</v>
      </c>
      <c r="B41" t="s">
        <v>92</v>
      </c>
      <c r="C41" t="s">
        <v>252</v>
      </c>
      <c r="D41" t="s">
        <v>291</v>
      </c>
      <c r="E41" t="s">
        <v>290</v>
      </c>
    </row>
    <row r="42" spans="1:5" x14ac:dyDescent="0.35">
      <c r="A42" t="s">
        <v>41</v>
      </c>
      <c r="B42" t="s">
        <v>93</v>
      </c>
      <c r="C42" t="s">
        <v>252</v>
      </c>
      <c r="D42" t="s">
        <v>291</v>
      </c>
      <c r="E42" t="s">
        <v>290</v>
      </c>
    </row>
    <row r="43" spans="1:5" x14ac:dyDescent="0.35">
      <c r="A43" t="s">
        <v>41</v>
      </c>
      <c r="B43" t="s">
        <v>94</v>
      </c>
      <c r="C43" t="s">
        <v>252</v>
      </c>
      <c r="D43" t="s">
        <v>291</v>
      </c>
      <c r="E43" t="s">
        <v>290</v>
      </c>
    </row>
    <row r="44" spans="1:5" x14ac:dyDescent="0.35">
      <c r="A44" t="s">
        <v>41</v>
      </c>
      <c r="B44" t="s">
        <v>95</v>
      </c>
      <c r="C44" t="s">
        <v>252</v>
      </c>
      <c r="D44" t="s">
        <v>291</v>
      </c>
      <c r="E44" t="s">
        <v>290</v>
      </c>
    </row>
    <row r="45" spans="1:5" x14ac:dyDescent="0.35">
      <c r="A45" t="s">
        <v>41</v>
      </c>
      <c r="B45" t="s">
        <v>96</v>
      </c>
      <c r="C45" t="s">
        <v>252</v>
      </c>
      <c r="D45" t="s">
        <v>291</v>
      </c>
      <c r="E45" t="s">
        <v>290</v>
      </c>
    </row>
    <row r="46" spans="1:5" x14ac:dyDescent="0.35">
      <c r="A46" t="s">
        <v>41</v>
      </c>
      <c r="B46" t="s">
        <v>98</v>
      </c>
      <c r="C46" t="s">
        <v>252</v>
      </c>
      <c r="D46" t="s">
        <v>291</v>
      </c>
      <c r="E46" t="s">
        <v>290</v>
      </c>
    </row>
    <row r="47" spans="1:5" x14ac:dyDescent="0.35">
      <c r="A47" t="s">
        <v>41</v>
      </c>
      <c r="B47" t="s">
        <v>99</v>
      </c>
      <c r="C47" t="s">
        <v>252</v>
      </c>
      <c r="D47" t="s">
        <v>291</v>
      </c>
      <c r="E47" t="s">
        <v>290</v>
      </c>
    </row>
    <row r="48" spans="1:5" x14ac:dyDescent="0.35">
      <c r="A48" t="s">
        <v>41</v>
      </c>
      <c r="B48" t="s">
        <v>100</v>
      </c>
      <c r="C48" t="s">
        <v>252</v>
      </c>
      <c r="D48" t="s">
        <v>291</v>
      </c>
      <c r="E48" t="s">
        <v>290</v>
      </c>
    </row>
    <row r="49" spans="1:5" x14ac:dyDescent="0.35">
      <c r="A49" t="s">
        <v>41</v>
      </c>
      <c r="B49" t="s">
        <v>101</v>
      </c>
      <c r="C49" t="s">
        <v>252</v>
      </c>
      <c r="D49" t="s">
        <v>291</v>
      </c>
      <c r="E49" t="s">
        <v>290</v>
      </c>
    </row>
    <row r="50" spans="1:5" x14ac:dyDescent="0.35">
      <c r="A50" t="s">
        <v>41</v>
      </c>
      <c r="B50" t="s">
        <v>262</v>
      </c>
      <c r="C50" t="s">
        <v>252</v>
      </c>
      <c r="D50" t="s">
        <v>291</v>
      </c>
      <c r="E50" t="s">
        <v>290</v>
      </c>
    </row>
    <row r="51" spans="1:5" x14ac:dyDescent="0.35">
      <c r="A51" t="s">
        <v>41</v>
      </c>
      <c r="B51" t="s">
        <v>264</v>
      </c>
      <c r="C51" t="s">
        <v>252</v>
      </c>
      <c r="D51" t="s">
        <v>291</v>
      </c>
      <c r="E51" t="s">
        <v>290</v>
      </c>
    </row>
    <row r="52" spans="1:5" x14ac:dyDescent="0.35">
      <c r="A52" t="s">
        <v>41</v>
      </c>
      <c r="B52" t="s">
        <v>265</v>
      </c>
      <c r="C52" t="s">
        <v>252</v>
      </c>
      <c r="D52" t="s">
        <v>291</v>
      </c>
      <c r="E52" t="s">
        <v>290</v>
      </c>
    </row>
    <row r="53" spans="1:5" x14ac:dyDescent="0.35">
      <c r="A53" t="s">
        <v>41</v>
      </c>
      <c r="B53" t="s">
        <v>266</v>
      </c>
      <c r="C53" t="s">
        <v>252</v>
      </c>
      <c r="D53" t="s">
        <v>291</v>
      </c>
      <c r="E53" t="s">
        <v>290</v>
      </c>
    </row>
    <row r="54" spans="1:5" x14ac:dyDescent="0.35">
      <c r="A54" t="s">
        <v>41</v>
      </c>
      <c r="B54" t="s">
        <v>267</v>
      </c>
      <c r="C54" t="s">
        <v>252</v>
      </c>
      <c r="D54" t="s">
        <v>291</v>
      </c>
      <c r="E54" t="s">
        <v>290</v>
      </c>
    </row>
    <row r="55" spans="1:5" x14ac:dyDescent="0.35">
      <c r="A55" t="s">
        <v>41</v>
      </c>
      <c r="B55" t="s">
        <v>263</v>
      </c>
      <c r="C55" t="s">
        <v>252</v>
      </c>
      <c r="D55" t="s">
        <v>291</v>
      </c>
      <c r="E55" t="s">
        <v>290</v>
      </c>
    </row>
    <row r="56" spans="1:5" x14ac:dyDescent="0.35">
      <c r="A56" t="s">
        <v>41</v>
      </c>
      <c r="B56" t="s">
        <v>268</v>
      </c>
      <c r="C56" t="s">
        <v>252</v>
      </c>
      <c r="D56" t="s">
        <v>291</v>
      </c>
      <c r="E56" t="s">
        <v>290</v>
      </c>
    </row>
    <row r="57" spans="1:5" x14ac:dyDescent="0.35">
      <c r="A57" t="s">
        <v>41</v>
      </c>
      <c r="B57" t="s">
        <v>269</v>
      </c>
      <c r="C57" t="s">
        <v>252</v>
      </c>
      <c r="D57" t="s">
        <v>291</v>
      </c>
      <c r="E57" t="s">
        <v>290</v>
      </c>
    </row>
    <row r="58" spans="1:5" x14ac:dyDescent="0.35">
      <c r="A58" t="s">
        <v>41</v>
      </c>
      <c r="B58" t="s">
        <v>270</v>
      </c>
      <c r="C58" t="s">
        <v>252</v>
      </c>
      <c r="D58" t="s">
        <v>291</v>
      </c>
      <c r="E58" t="s">
        <v>290</v>
      </c>
    </row>
    <row r="59" spans="1:5" x14ac:dyDescent="0.35">
      <c r="A59" t="s">
        <v>41</v>
      </c>
      <c r="B59" t="s">
        <v>271</v>
      </c>
      <c r="C59" t="s">
        <v>252</v>
      </c>
      <c r="D59" t="s">
        <v>291</v>
      </c>
      <c r="E59" t="s">
        <v>290</v>
      </c>
    </row>
    <row r="60" spans="1:5" x14ac:dyDescent="0.35">
      <c r="A60" t="s">
        <v>41</v>
      </c>
      <c r="B60" t="s">
        <v>272</v>
      </c>
      <c r="C60" t="s">
        <v>252</v>
      </c>
      <c r="D60" t="s">
        <v>291</v>
      </c>
      <c r="E60" t="s">
        <v>290</v>
      </c>
    </row>
    <row r="61" spans="1:5" x14ac:dyDescent="0.35">
      <c r="A61" t="s">
        <v>41</v>
      </c>
      <c r="B61" t="s">
        <v>326</v>
      </c>
      <c r="C61" t="s">
        <v>252</v>
      </c>
      <c r="D61" t="s">
        <v>291</v>
      </c>
      <c r="E61" t="s">
        <v>290</v>
      </c>
    </row>
    <row r="62" spans="1:5" x14ac:dyDescent="0.35">
      <c r="A62" t="s">
        <v>41</v>
      </c>
      <c r="B62" t="s">
        <v>107</v>
      </c>
      <c r="C62" t="s">
        <v>252</v>
      </c>
      <c r="D62" t="s">
        <v>291</v>
      </c>
      <c r="E62" t="s">
        <v>290</v>
      </c>
    </row>
    <row r="63" spans="1:5" x14ac:dyDescent="0.35">
      <c r="A63" t="s">
        <v>41</v>
      </c>
      <c r="B63" t="s">
        <v>108</v>
      </c>
      <c r="C63" t="s">
        <v>252</v>
      </c>
      <c r="D63" t="s">
        <v>291</v>
      </c>
      <c r="E63" t="s">
        <v>290</v>
      </c>
    </row>
    <row r="64" spans="1:5" x14ac:dyDescent="0.35">
      <c r="A64" t="s">
        <v>41</v>
      </c>
      <c r="B64" t="s">
        <v>109</v>
      </c>
      <c r="C64" t="s">
        <v>252</v>
      </c>
      <c r="D64" t="s">
        <v>291</v>
      </c>
      <c r="E64" t="s">
        <v>290</v>
      </c>
    </row>
    <row r="65" spans="1:5" x14ac:dyDescent="0.35">
      <c r="A65" t="s">
        <v>41</v>
      </c>
      <c r="B65" t="s">
        <v>111</v>
      </c>
      <c r="C65" t="s">
        <v>252</v>
      </c>
      <c r="D65" t="s">
        <v>291</v>
      </c>
      <c r="E65" t="s">
        <v>290</v>
      </c>
    </row>
    <row r="66" spans="1:5" x14ac:dyDescent="0.35">
      <c r="A66" t="s">
        <v>41</v>
      </c>
      <c r="B66" t="s">
        <v>112</v>
      </c>
      <c r="C66" t="s">
        <v>252</v>
      </c>
      <c r="D66" t="s">
        <v>291</v>
      </c>
      <c r="E66" t="s">
        <v>290</v>
      </c>
    </row>
    <row r="67" spans="1:5" x14ac:dyDescent="0.35">
      <c r="A67" t="s">
        <v>41</v>
      </c>
      <c r="B67" t="s">
        <v>113</v>
      </c>
      <c r="C67" t="s">
        <v>252</v>
      </c>
      <c r="D67" t="s">
        <v>291</v>
      </c>
      <c r="E67" t="s">
        <v>290</v>
      </c>
    </row>
    <row r="68" spans="1:5" x14ac:dyDescent="0.35">
      <c r="A68" t="s">
        <v>41</v>
      </c>
      <c r="B68" t="s">
        <v>277</v>
      </c>
      <c r="C68" t="s">
        <v>252</v>
      </c>
      <c r="D68" t="s">
        <v>291</v>
      </c>
      <c r="E68" t="s">
        <v>290</v>
      </c>
    </row>
    <row r="69" spans="1:5" x14ac:dyDescent="0.35">
      <c r="A69" t="s">
        <v>41</v>
      </c>
      <c r="B69" t="s">
        <v>114</v>
      </c>
      <c r="C69" t="s">
        <v>292</v>
      </c>
      <c r="D69" t="s">
        <v>291</v>
      </c>
      <c r="E69" t="s">
        <v>290</v>
      </c>
    </row>
    <row r="70" spans="1:5" x14ac:dyDescent="0.35">
      <c r="A70" t="s">
        <v>41</v>
      </c>
      <c r="B70" t="s">
        <v>327</v>
      </c>
      <c r="C70" t="s">
        <v>292</v>
      </c>
      <c r="D70" t="s">
        <v>291</v>
      </c>
      <c r="E70" t="s">
        <v>290</v>
      </c>
    </row>
    <row r="71" spans="1:5" x14ac:dyDescent="0.35">
      <c r="A71" t="s">
        <v>41</v>
      </c>
      <c r="B71" t="s">
        <v>278</v>
      </c>
      <c r="C71" t="s">
        <v>292</v>
      </c>
      <c r="D71" t="s">
        <v>291</v>
      </c>
      <c r="E71" t="s">
        <v>290</v>
      </c>
    </row>
    <row r="72" spans="1:5" x14ac:dyDescent="0.35">
      <c r="A72" t="s">
        <v>41</v>
      </c>
      <c r="B72" t="s">
        <v>116</v>
      </c>
      <c r="C72" t="s">
        <v>292</v>
      </c>
      <c r="D72" t="s">
        <v>291</v>
      </c>
      <c r="E72" t="s">
        <v>290</v>
      </c>
    </row>
    <row r="73" spans="1:5" x14ac:dyDescent="0.35">
      <c r="A73" t="s">
        <v>41</v>
      </c>
      <c r="B73" t="s">
        <v>279</v>
      </c>
      <c r="C73" t="s">
        <v>292</v>
      </c>
      <c r="D73" t="s">
        <v>291</v>
      </c>
      <c r="E73" t="s">
        <v>290</v>
      </c>
    </row>
    <row r="74" spans="1:5" x14ac:dyDescent="0.35">
      <c r="A74" t="s">
        <v>41</v>
      </c>
      <c r="B74" t="s">
        <v>118</v>
      </c>
      <c r="C74" t="s">
        <v>292</v>
      </c>
      <c r="D74" t="s">
        <v>291</v>
      </c>
      <c r="E74" t="s">
        <v>290</v>
      </c>
    </row>
    <row r="75" spans="1:5" x14ac:dyDescent="0.35">
      <c r="A75" t="s">
        <v>41</v>
      </c>
      <c r="B75" t="s">
        <v>280</v>
      </c>
      <c r="C75" t="s">
        <v>293</v>
      </c>
      <c r="D75" t="s">
        <v>291</v>
      </c>
      <c r="E75" t="s">
        <v>290</v>
      </c>
    </row>
    <row r="76" spans="1:5" x14ac:dyDescent="0.35">
      <c r="A76" t="s">
        <v>41</v>
      </c>
      <c r="B76" t="s">
        <v>281</v>
      </c>
      <c r="C76" t="s">
        <v>293</v>
      </c>
      <c r="D76" t="s">
        <v>291</v>
      </c>
      <c r="E76" t="s">
        <v>290</v>
      </c>
    </row>
    <row r="77" spans="1:5" x14ac:dyDescent="0.35">
      <c r="A77" t="s">
        <v>41</v>
      </c>
      <c r="B77" t="s">
        <v>282</v>
      </c>
      <c r="C77" t="s">
        <v>293</v>
      </c>
      <c r="D77" t="s">
        <v>291</v>
      </c>
      <c r="E77" t="s">
        <v>290</v>
      </c>
    </row>
    <row r="78" spans="1:5" x14ac:dyDescent="0.35">
      <c r="A78" t="s">
        <v>41</v>
      </c>
      <c r="B78" s="8" t="s">
        <v>328</v>
      </c>
      <c r="C78" t="s">
        <v>293</v>
      </c>
      <c r="D78" t="s">
        <v>291</v>
      </c>
      <c r="E78" t="s">
        <v>290</v>
      </c>
    </row>
    <row r="79" spans="1:5" x14ac:dyDescent="0.35">
      <c r="A79" t="s">
        <v>41</v>
      </c>
      <c r="B79" t="s">
        <v>120</v>
      </c>
      <c r="C79" t="s">
        <v>293</v>
      </c>
      <c r="D79" t="s">
        <v>291</v>
      </c>
      <c r="E79" t="s">
        <v>290</v>
      </c>
    </row>
    <row r="80" spans="1:5" x14ac:dyDescent="0.35">
      <c r="A80" t="s">
        <v>41</v>
      </c>
      <c r="B80" t="s">
        <v>121</v>
      </c>
      <c r="C80" t="s">
        <v>293</v>
      </c>
      <c r="D80" t="s">
        <v>291</v>
      </c>
      <c r="E80" t="s">
        <v>290</v>
      </c>
    </row>
    <row r="81" spans="1:5" x14ac:dyDescent="0.35">
      <c r="A81" t="s">
        <v>41</v>
      </c>
      <c r="B81" t="s">
        <v>122</v>
      </c>
      <c r="C81" t="s">
        <v>293</v>
      </c>
      <c r="D81" t="s">
        <v>291</v>
      </c>
      <c r="E81" t="s">
        <v>290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4"/>
  <sheetViews>
    <sheetView workbookViewId="0">
      <selection activeCell="C1" sqref="C1"/>
    </sheetView>
  </sheetViews>
  <sheetFormatPr defaultRowHeight="15.5" x14ac:dyDescent="0.35"/>
  <cols>
    <col min="1" max="1" width="25.5" bestFit="1" customWidth="1"/>
    <col min="2" max="2" width="24.25" bestFit="1" customWidth="1"/>
    <col min="3" max="3" width="9.83203125" bestFit="1" customWidth="1"/>
    <col min="4" max="4" width="2.1640625" customWidth="1"/>
    <col min="5" max="5" width="39.25" bestFit="1" customWidth="1"/>
    <col min="6" max="6" width="10.83203125" bestFit="1" customWidth="1"/>
    <col min="8" max="8" width="2.1640625" customWidth="1"/>
    <col min="12" max="12" width="2.1640625" customWidth="1"/>
  </cols>
  <sheetData>
    <row r="1" spans="1:12" s="2" customFormat="1" x14ac:dyDescent="0.35">
      <c r="A1" s="2" t="s">
        <v>240</v>
      </c>
      <c r="B1" s="2" t="s">
        <v>239</v>
      </c>
      <c r="C1" s="2" t="s">
        <v>240</v>
      </c>
      <c r="E1" s="2" t="s">
        <v>254</v>
      </c>
      <c r="F1" s="2" t="s">
        <v>239</v>
      </c>
      <c r="G1" s="2" t="s">
        <v>254</v>
      </c>
      <c r="I1" s="2" t="s">
        <v>14</v>
      </c>
      <c r="J1" s="2" t="s">
        <v>239</v>
      </c>
      <c r="K1" s="2" t="s">
        <v>14</v>
      </c>
    </row>
    <row r="2" spans="1:12" x14ac:dyDescent="0.35">
      <c r="A2" t="s">
        <v>228</v>
      </c>
      <c r="B2" t="str">
        <f>LOWER(SUBSTITUTE(A2," ",""))</f>
        <v>projectdescriptioncomplete</v>
      </c>
      <c r="C2" t="str">
        <f>A2</f>
        <v>Project Description Complete</v>
      </c>
      <c r="D2" t="s">
        <v>241</v>
      </c>
      <c r="E2" t="s">
        <v>55</v>
      </c>
      <c r="F2" t="s">
        <v>134</v>
      </c>
      <c r="G2" t="str">
        <f>E2</f>
        <v>Initiate Project</v>
      </c>
      <c r="H2" t="s">
        <v>241</v>
      </c>
      <c r="I2" t="s">
        <v>21</v>
      </c>
      <c r="J2" t="s">
        <v>130</v>
      </c>
      <c r="K2" t="str">
        <f>I2</f>
        <v>Pre-EA</v>
      </c>
      <c r="L2" t="s">
        <v>241</v>
      </c>
    </row>
    <row r="3" spans="1:12" x14ac:dyDescent="0.35">
      <c r="A3" t="s">
        <v>229</v>
      </c>
      <c r="B3" t="str">
        <f t="shared" ref="B3:B10" si="0">LOWER(SUBSTITUTE(A3," ",""))</f>
        <v>section10complete</v>
      </c>
      <c r="C3" t="str">
        <f t="shared" ref="C3:C10" si="1">A3</f>
        <v>Section 10 Complete</v>
      </c>
      <c r="D3" t="s">
        <v>241</v>
      </c>
      <c r="E3" t="s">
        <v>60</v>
      </c>
      <c r="F3" t="s">
        <v>135</v>
      </c>
      <c r="G3" t="str">
        <f t="shared" ref="G3:G19" si="2">E3</f>
        <v>Set up Project Space</v>
      </c>
      <c r="H3" t="s">
        <v>241</v>
      </c>
      <c r="I3" t="s">
        <v>83</v>
      </c>
      <c r="J3" t="s">
        <v>131</v>
      </c>
      <c r="K3" t="str">
        <f t="shared" ref="K3:K5" si="3">I3</f>
        <v>Pre Application</v>
      </c>
      <c r="L3" t="s">
        <v>241</v>
      </c>
    </row>
    <row r="4" spans="1:12" x14ac:dyDescent="0.35">
      <c r="A4" t="s">
        <v>231</v>
      </c>
      <c r="B4" t="str">
        <f t="shared" si="0"/>
        <v>section11complete</v>
      </c>
      <c r="C4" t="str">
        <f t="shared" si="1"/>
        <v>Section 11 Complete</v>
      </c>
      <c r="D4" t="s">
        <v>241</v>
      </c>
      <c r="E4" t="s">
        <v>70</v>
      </c>
      <c r="F4" t="s">
        <v>136</v>
      </c>
      <c r="G4" t="str">
        <f t="shared" si="2"/>
        <v>Begin Strength of Claim Process</v>
      </c>
      <c r="H4" t="s">
        <v>241</v>
      </c>
      <c r="I4" t="s">
        <v>22</v>
      </c>
      <c r="J4" t="s">
        <v>132</v>
      </c>
      <c r="K4" t="str">
        <f t="shared" si="3"/>
        <v>Evaluation</v>
      </c>
      <c r="L4" t="s">
        <v>241</v>
      </c>
    </row>
    <row r="5" spans="1:12" x14ac:dyDescent="0.35">
      <c r="A5" t="s">
        <v>230</v>
      </c>
      <c r="B5" t="str">
        <f t="shared" si="0"/>
        <v>draftaircomplete</v>
      </c>
      <c r="C5" t="str">
        <f t="shared" si="1"/>
        <v>Draft AIR Complete</v>
      </c>
      <c r="D5" t="s">
        <v>241</v>
      </c>
      <c r="E5" t="s">
        <v>75</v>
      </c>
      <c r="F5" t="s">
        <v>137</v>
      </c>
      <c r="G5" t="str">
        <f t="shared" si="2"/>
        <v>Populate Content</v>
      </c>
      <c r="H5" t="s">
        <v>241</v>
      </c>
      <c r="I5" t="s">
        <v>23</v>
      </c>
      <c r="J5" t="s">
        <v>133</v>
      </c>
      <c r="K5" t="str">
        <f t="shared" si="3"/>
        <v>Review</v>
      </c>
      <c r="L5" t="s">
        <v>241</v>
      </c>
    </row>
    <row r="6" spans="1:12" x14ac:dyDescent="0.35">
      <c r="A6" t="s">
        <v>232</v>
      </c>
      <c r="B6" t="str">
        <f t="shared" si="0"/>
        <v>aircomplete</v>
      </c>
      <c r="C6" t="str">
        <f t="shared" si="1"/>
        <v>AIR Complete</v>
      </c>
      <c r="D6" t="s">
        <v>241</v>
      </c>
      <c r="E6" t="s">
        <v>81</v>
      </c>
      <c r="F6" t="s">
        <v>138</v>
      </c>
      <c r="G6" t="str">
        <f t="shared" si="2"/>
        <v>Create Project Description</v>
      </c>
      <c r="H6" t="s">
        <v>241</v>
      </c>
      <c r="L6" t="s">
        <v>241</v>
      </c>
    </row>
    <row r="7" spans="1:12" x14ac:dyDescent="0.35">
      <c r="A7" t="s">
        <v>233</v>
      </c>
      <c r="B7" t="str">
        <f t="shared" si="0"/>
        <v>applicationsubmitted</v>
      </c>
      <c r="C7" t="str">
        <f t="shared" si="1"/>
        <v>Application Submitted</v>
      </c>
      <c r="D7" t="s">
        <v>241</v>
      </c>
      <c r="E7" t="s">
        <v>82</v>
      </c>
      <c r="F7" t="s">
        <v>139</v>
      </c>
      <c r="G7" t="str">
        <f t="shared" si="2"/>
        <v>Create Section 10(1)c</v>
      </c>
      <c r="H7" t="s">
        <v>241</v>
      </c>
      <c r="L7" t="s">
        <v>241</v>
      </c>
    </row>
    <row r="8" spans="1:12" x14ac:dyDescent="0.35">
      <c r="A8" t="s">
        <v>234</v>
      </c>
      <c r="B8" t="str">
        <f t="shared" si="0"/>
        <v>evaluationcomplete</v>
      </c>
      <c r="C8" t="str">
        <f t="shared" si="1"/>
        <v>Evaluation Complete</v>
      </c>
      <c r="D8" t="s">
        <v>241</v>
      </c>
      <c r="E8" t="s">
        <v>84</v>
      </c>
      <c r="F8" t="s">
        <v>140</v>
      </c>
      <c r="G8" t="str">
        <f t="shared" si="2"/>
        <v>Create and Finalize Section 11 Document</v>
      </c>
      <c r="H8" t="s">
        <v>241</v>
      </c>
      <c r="L8" t="s">
        <v>241</v>
      </c>
    </row>
    <row r="9" spans="1:12" x14ac:dyDescent="0.35">
      <c r="A9" t="s">
        <v>235</v>
      </c>
      <c r="B9" t="str">
        <f t="shared" si="0"/>
        <v>reviewcomplete</v>
      </c>
      <c r="C9" t="str">
        <f t="shared" si="1"/>
        <v>Review Complete</v>
      </c>
      <c r="D9" t="s">
        <v>241</v>
      </c>
      <c r="E9" t="s">
        <v>89</v>
      </c>
      <c r="F9" t="s">
        <v>141</v>
      </c>
      <c r="G9" t="str">
        <f t="shared" si="2"/>
        <v>Enter Value Component Mandatory Minimum</v>
      </c>
      <c r="H9" t="s">
        <v>241</v>
      </c>
      <c r="L9" t="s">
        <v>241</v>
      </c>
    </row>
    <row r="10" spans="1:12" x14ac:dyDescent="0.35">
      <c r="A10" t="s">
        <v>236</v>
      </c>
      <c r="B10" t="str">
        <f t="shared" si="0"/>
        <v>applicationprocesscomplete</v>
      </c>
      <c r="C10" t="str">
        <f t="shared" si="1"/>
        <v>Application Process Complete</v>
      </c>
      <c r="D10" t="s">
        <v>241</v>
      </c>
      <c r="E10" t="s">
        <v>97</v>
      </c>
      <c r="F10" t="s">
        <v>142</v>
      </c>
      <c r="G10" t="str">
        <f t="shared" si="2"/>
        <v>Confirm Working Group Participation</v>
      </c>
      <c r="H10" t="s">
        <v>241</v>
      </c>
      <c r="L10" t="s">
        <v>241</v>
      </c>
    </row>
    <row r="11" spans="1:12" x14ac:dyDescent="0.35">
      <c r="D11" t="s">
        <v>241</v>
      </c>
      <c r="E11" t="s">
        <v>102</v>
      </c>
      <c r="F11" t="s">
        <v>143</v>
      </c>
      <c r="G11" t="str">
        <f t="shared" si="2"/>
        <v>Create Draft AIR</v>
      </c>
      <c r="H11" t="s">
        <v>241</v>
      </c>
      <c r="L11" t="s">
        <v>241</v>
      </c>
    </row>
    <row r="12" spans="1:12" x14ac:dyDescent="0.35">
      <c r="D12" t="s">
        <v>241</v>
      </c>
      <c r="E12" t="s">
        <v>103</v>
      </c>
      <c r="F12" t="s">
        <v>144</v>
      </c>
      <c r="G12" t="str">
        <f t="shared" si="2"/>
        <v>Create AIR</v>
      </c>
      <c r="H12" t="s">
        <v>241</v>
      </c>
      <c r="L12" t="s">
        <v>241</v>
      </c>
    </row>
    <row r="13" spans="1:12" x14ac:dyDescent="0.35">
      <c r="D13" t="s">
        <v>241</v>
      </c>
      <c r="E13" t="s">
        <v>104</v>
      </c>
      <c r="F13" t="s">
        <v>145</v>
      </c>
      <c r="G13" t="str">
        <f t="shared" si="2"/>
        <v xml:space="preserve">Create Application </v>
      </c>
      <c r="H13" t="s">
        <v>241</v>
      </c>
      <c r="L13" t="s">
        <v>241</v>
      </c>
    </row>
    <row r="14" spans="1:12" x14ac:dyDescent="0.35">
      <c r="D14" t="s">
        <v>241</v>
      </c>
      <c r="E14" t="s">
        <v>105</v>
      </c>
      <c r="F14" t="s">
        <v>215</v>
      </c>
      <c r="G14" t="str">
        <f t="shared" si="2"/>
        <v>Create Table of Concordance</v>
      </c>
      <c r="H14" t="s">
        <v>241</v>
      </c>
      <c r="L14" t="s">
        <v>241</v>
      </c>
    </row>
    <row r="15" spans="1:12" x14ac:dyDescent="0.35">
      <c r="D15" t="s">
        <v>241</v>
      </c>
      <c r="E15" t="s">
        <v>106</v>
      </c>
      <c r="F15" t="s">
        <v>146</v>
      </c>
      <c r="G15" t="str">
        <f t="shared" si="2"/>
        <v>Pre-Application Wrap-Up</v>
      </c>
      <c r="H15" t="s">
        <v>241</v>
      </c>
      <c r="L15" t="s">
        <v>241</v>
      </c>
    </row>
    <row r="16" spans="1:12" x14ac:dyDescent="0.35">
      <c r="D16" t="s">
        <v>241</v>
      </c>
      <c r="E16" t="s">
        <v>110</v>
      </c>
      <c r="F16" t="s">
        <v>148</v>
      </c>
      <c r="G16" t="str">
        <f t="shared" si="2"/>
        <v>Initate Evaluation Period</v>
      </c>
      <c r="H16" t="s">
        <v>241</v>
      </c>
      <c r="L16" t="s">
        <v>241</v>
      </c>
    </row>
    <row r="17" spans="4:12" x14ac:dyDescent="0.35">
      <c r="D17" t="s">
        <v>241</v>
      </c>
      <c r="E17" t="s">
        <v>115</v>
      </c>
      <c r="F17" t="s">
        <v>147</v>
      </c>
      <c r="G17" t="str">
        <f t="shared" si="2"/>
        <v>Evaluation Wrap-up</v>
      </c>
      <c r="H17" t="s">
        <v>241</v>
      </c>
      <c r="L17" t="s">
        <v>241</v>
      </c>
    </row>
    <row r="18" spans="4:12" x14ac:dyDescent="0.35">
      <c r="D18" t="s">
        <v>241</v>
      </c>
      <c r="E18" t="s">
        <v>117</v>
      </c>
      <c r="F18" t="s">
        <v>149</v>
      </c>
      <c r="G18" t="str">
        <f t="shared" si="2"/>
        <v>Initate Review Period</v>
      </c>
      <c r="H18" t="s">
        <v>241</v>
      </c>
      <c r="L18" t="s">
        <v>241</v>
      </c>
    </row>
    <row r="19" spans="4:12" x14ac:dyDescent="0.35">
      <c r="D19" t="s">
        <v>241</v>
      </c>
      <c r="E19" t="s">
        <v>119</v>
      </c>
      <c r="F19" t="s">
        <v>150</v>
      </c>
      <c r="G19" t="str">
        <f t="shared" si="2"/>
        <v>Public Comment Period</v>
      </c>
      <c r="H19" t="s">
        <v>241</v>
      </c>
      <c r="L19" t="s">
        <v>241</v>
      </c>
    </row>
    <row r="20" spans="4:12" x14ac:dyDescent="0.35">
      <c r="D20" t="s">
        <v>241</v>
      </c>
      <c r="H20" t="s">
        <v>241</v>
      </c>
      <c r="L20" t="s">
        <v>241</v>
      </c>
    </row>
    <row r="21" spans="4:12" x14ac:dyDescent="0.35">
      <c r="D21" t="s">
        <v>241</v>
      </c>
      <c r="H21" t="s">
        <v>241</v>
      </c>
      <c r="L21" t="s">
        <v>241</v>
      </c>
    </row>
    <row r="22" spans="4:12" x14ac:dyDescent="0.35">
      <c r="D22" t="s">
        <v>241</v>
      </c>
      <c r="H22" t="s">
        <v>241</v>
      </c>
      <c r="L22" t="s">
        <v>241</v>
      </c>
    </row>
    <row r="23" spans="4:12" x14ac:dyDescent="0.35">
      <c r="D23" t="s">
        <v>241</v>
      </c>
      <c r="H23" t="s">
        <v>241</v>
      </c>
      <c r="L23" t="s">
        <v>241</v>
      </c>
    </row>
    <row r="24" spans="4:12" x14ac:dyDescent="0.35">
      <c r="D24" t="s">
        <v>241</v>
      </c>
      <c r="H24" t="s">
        <v>241</v>
      </c>
      <c r="L24" t="s">
        <v>241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81"/>
  <sheetViews>
    <sheetView tabSelected="1" topLeftCell="E1" workbookViewId="0">
      <pane ySplit="1" topLeftCell="A2" activePane="bottomLeft" state="frozen"/>
      <selection pane="bottomLeft" activeCell="G27" sqref="G27"/>
    </sheetView>
  </sheetViews>
  <sheetFormatPr defaultRowHeight="15.5" x14ac:dyDescent="0.35"/>
  <cols>
    <col min="1" max="1" width="13.4140625" bestFit="1" customWidth="1"/>
    <col min="2" max="2" width="10.75" bestFit="1" customWidth="1"/>
    <col min="3" max="3" width="8.5" bestFit="1" customWidth="1"/>
    <col min="4" max="4" width="39.25" bestFit="1" customWidth="1"/>
    <col min="5" max="5" width="10.83203125" bestFit="1" customWidth="1"/>
    <col min="6" max="6" width="6.25" bestFit="1" customWidth="1"/>
    <col min="7" max="7" width="72.08203125" bestFit="1" customWidth="1"/>
    <col min="8" max="8" width="12.33203125" bestFit="1" customWidth="1"/>
    <col min="9" max="9" width="12.33203125" customWidth="1"/>
    <col min="10" max="10" width="11.58203125" customWidth="1"/>
  </cols>
  <sheetData>
    <row r="1" spans="1:12" s="2" customFormat="1" x14ac:dyDescent="0.35">
      <c r="A1" s="2" t="s">
        <v>52</v>
      </c>
      <c r="B1" s="2" t="s">
        <v>333</v>
      </c>
      <c r="C1" s="2" t="s">
        <v>332</v>
      </c>
      <c r="D1" s="2" t="s">
        <v>53</v>
      </c>
      <c r="E1" s="2" t="s">
        <v>334</v>
      </c>
      <c r="F1" s="2" t="s">
        <v>335</v>
      </c>
      <c r="G1" s="2" t="s">
        <v>54</v>
      </c>
      <c r="H1" s="2" t="s">
        <v>336</v>
      </c>
      <c r="I1" s="2" t="s">
        <v>337</v>
      </c>
    </row>
    <row r="2" spans="1:12" x14ac:dyDescent="0.35">
      <c r="A2" t="s">
        <v>21</v>
      </c>
      <c r="B2" t="s">
        <v>130</v>
      </c>
      <c r="C2">
        <v>1</v>
      </c>
      <c r="D2" t="s">
        <v>55</v>
      </c>
      <c r="E2" t="s">
        <v>134</v>
      </c>
      <c r="F2">
        <v>1</v>
      </c>
      <c r="G2" t="s">
        <v>56</v>
      </c>
      <c r="H2" t="s">
        <v>227</v>
      </c>
      <c r="I2">
        <v>1</v>
      </c>
      <c r="J2" t="str">
        <f>E2</f>
        <v>inproj</v>
      </c>
      <c r="K2">
        <f t="shared" ref="K2:K33" si="0">COUNTIF(H:H,H2)</f>
        <v>1</v>
      </c>
      <c r="L2">
        <f t="shared" ref="L2:L33" si="1">COUNTIF(G:G,G2)</f>
        <v>1</v>
      </c>
    </row>
    <row r="3" spans="1:12" x14ac:dyDescent="0.35">
      <c r="A3" t="s">
        <v>21</v>
      </c>
      <c r="B3" t="s">
        <v>130</v>
      </c>
      <c r="C3">
        <f t="shared" ref="C3:C66" si="2">IF(B3=B2,C2,C2+1)</f>
        <v>1</v>
      </c>
      <c r="D3" t="s">
        <v>55</v>
      </c>
      <c r="E3" t="s">
        <v>134</v>
      </c>
      <c r="F3">
        <f>IF(E3=E2,F2,F2+1)</f>
        <v>1</v>
      </c>
      <c r="G3" t="s">
        <v>57</v>
      </c>
      <c r="H3" t="s">
        <v>154</v>
      </c>
      <c r="I3">
        <f>IF(H3=H2,I2,I2+1)</f>
        <v>2</v>
      </c>
      <c r="J3" t="str">
        <f t="shared" ref="J3:J10" si="3">E3</f>
        <v>inproj</v>
      </c>
      <c r="K3">
        <f t="shared" si="0"/>
        <v>1</v>
      </c>
      <c r="L3">
        <f t="shared" si="1"/>
        <v>1</v>
      </c>
    </row>
    <row r="4" spans="1:12" x14ac:dyDescent="0.35">
      <c r="A4" t="s">
        <v>21</v>
      </c>
      <c r="B4" t="s">
        <v>130</v>
      </c>
      <c r="C4">
        <f t="shared" si="2"/>
        <v>1</v>
      </c>
      <c r="D4" t="s">
        <v>55</v>
      </c>
      <c r="E4" t="s">
        <v>134</v>
      </c>
      <c r="F4">
        <f t="shared" ref="F4:F67" si="4">IF(E4=E3,F3,F3+1)</f>
        <v>1</v>
      </c>
      <c r="G4" t="s">
        <v>58</v>
      </c>
      <c r="H4" t="s">
        <v>155</v>
      </c>
      <c r="I4">
        <f t="shared" ref="I4:I67" si="5">IF(H4=H3,I3,I3+1)</f>
        <v>3</v>
      </c>
      <c r="J4" t="str">
        <f t="shared" si="3"/>
        <v>inproj</v>
      </c>
      <c r="K4">
        <f t="shared" si="0"/>
        <v>1</v>
      </c>
      <c r="L4">
        <f t="shared" si="1"/>
        <v>1</v>
      </c>
    </row>
    <row r="5" spans="1:12" x14ac:dyDescent="0.35">
      <c r="A5" t="s">
        <v>21</v>
      </c>
      <c r="B5" t="s">
        <v>130</v>
      </c>
      <c r="C5">
        <f t="shared" si="2"/>
        <v>1</v>
      </c>
      <c r="D5" t="s">
        <v>55</v>
      </c>
      <c r="E5" t="s">
        <v>134</v>
      </c>
      <c r="F5">
        <f t="shared" si="4"/>
        <v>1</v>
      </c>
      <c r="G5" t="s">
        <v>59</v>
      </c>
      <c r="H5" t="s">
        <v>156</v>
      </c>
      <c r="I5">
        <f t="shared" si="5"/>
        <v>4</v>
      </c>
      <c r="J5" t="str">
        <f t="shared" si="3"/>
        <v>inproj</v>
      </c>
      <c r="K5">
        <f t="shared" si="0"/>
        <v>1</v>
      </c>
      <c r="L5">
        <f t="shared" si="1"/>
        <v>1</v>
      </c>
    </row>
    <row r="6" spans="1:12" x14ac:dyDescent="0.35">
      <c r="A6" t="s">
        <v>21</v>
      </c>
      <c r="B6" t="s">
        <v>130</v>
      </c>
      <c r="C6">
        <f t="shared" si="2"/>
        <v>1</v>
      </c>
      <c r="D6" t="s">
        <v>60</v>
      </c>
      <c r="E6" t="s">
        <v>135</v>
      </c>
      <c r="F6">
        <f t="shared" si="4"/>
        <v>2</v>
      </c>
      <c r="G6" t="s">
        <v>61</v>
      </c>
      <c r="H6" t="s">
        <v>157</v>
      </c>
      <c r="I6">
        <f t="shared" si="5"/>
        <v>5</v>
      </c>
      <c r="J6" t="str">
        <f t="shared" si="3"/>
        <v>seupps</v>
      </c>
      <c r="K6">
        <f t="shared" si="0"/>
        <v>1</v>
      </c>
      <c r="L6">
        <f t="shared" si="1"/>
        <v>1</v>
      </c>
    </row>
    <row r="7" spans="1:12" x14ac:dyDescent="0.35">
      <c r="A7" t="s">
        <v>21</v>
      </c>
      <c r="B7" t="s">
        <v>130</v>
      </c>
      <c r="C7">
        <f t="shared" si="2"/>
        <v>1</v>
      </c>
      <c r="D7" t="s">
        <v>60</v>
      </c>
      <c r="E7" t="s">
        <v>135</v>
      </c>
      <c r="F7">
        <f t="shared" si="4"/>
        <v>2</v>
      </c>
      <c r="G7" t="s">
        <v>62</v>
      </c>
      <c r="H7" t="s">
        <v>158</v>
      </c>
      <c r="I7">
        <f t="shared" si="5"/>
        <v>6</v>
      </c>
      <c r="J7" t="str">
        <f t="shared" si="3"/>
        <v>seupps</v>
      </c>
      <c r="K7">
        <f t="shared" si="0"/>
        <v>1</v>
      </c>
      <c r="L7">
        <f t="shared" si="1"/>
        <v>1</v>
      </c>
    </row>
    <row r="8" spans="1:12" x14ac:dyDescent="0.35">
      <c r="A8" t="s">
        <v>21</v>
      </c>
      <c r="B8" t="s">
        <v>130</v>
      </c>
      <c r="C8">
        <f t="shared" si="2"/>
        <v>1</v>
      </c>
      <c r="D8" t="s">
        <v>60</v>
      </c>
      <c r="E8" t="s">
        <v>135</v>
      </c>
      <c r="F8">
        <f t="shared" si="4"/>
        <v>2</v>
      </c>
      <c r="G8" t="s">
        <v>63</v>
      </c>
      <c r="H8" t="s">
        <v>159</v>
      </c>
      <c r="I8">
        <f t="shared" si="5"/>
        <v>7</v>
      </c>
      <c r="J8" t="str">
        <f t="shared" si="3"/>
        <v>seupps</v>
      </c>
      <c r="K8">
        <f t="shared" si="0"/>
        <v>1</v>
      </c>
      <c r="L8">
        <f t="shared" si="1"/>
        <v>1</v>
      </c>
    </row>
    <row r="9" spans="1:12" x14ac:dyDescent="0.35">
      <c r="A9" t="s">
        <v>21</v>
      </c>
      <c r="B9" t="s">
        <v>130</v>
      </c>
      <c r="C9">
        <f t="shared" si="2"/>
        <v>1</v>
      </c>
      <c r="D9" t="s">
        <v>60</v>
      </c>
      <c r="E9" t="s">
        <v>135</v>
      </c>
      <c r="F9">
        <f t="shared" si="4"/>
        <v>2</v>
      </c>
      <c r="G9" t="s">
        <v>64</v>
      </c>
      <c r="H9" t="s">
        <v>160</v>
      </c>
      <c r="I9">
        <f t="shared" si="5"/>
        <v>8</v>
      </c>
      <c r="J9" t="str">
        <f t="shared" si="3"/>
        <v>seupps</v>
      </c>
      <c r="K9">
        <f t="shared" si="0"/>
        <v>1</v>
      </c>
      <c r="L9">
        <f t="shared" si="1"/>
        <v>1</v>
      </c>
    </row>
    <row r="10" spans="1:12" x14ac:dyDescent="0.35">
      <c r="A10" t="s">
        <v>21</v>
      </c>
      <c r="B10" t="s">
        <v>130</v>
      </c>
      <c r="C10">
        <f t="shared" si="2"/>
        <v>1</v>
      </c>
      <c r="D10" t="s">
        <v>60</v>
      </c>
      <c r="E10" t="s">
        <v>135</v>
      </c>
      <c r="F10">
        <f t="shared" si="4"/>
        <v>2</v>
      </c>
      <c r="G10" t="s">
        <v>322</v>
      </c>
      <c r="H10" t="s">
        <v>324</v>
      </c>
      <c r="I10">
        <f t="shared" si="5"/>
        <v>9</v>
      </c>
      <c r="J10" t="str">
        <f t="shared" si="3"/>
        <v>seupps</v>
      </c>
      <c r="K10">
        <f t="shared" si="0"/>
        <v>1</v>
      </c>
      <c r="L10">
        <f t="shared" si="1"/>
        <v>1</v>
      </c>
    </row>
    <row r="11" spans="1:12" x14ac:dyDescent="0.35">
      <c r="A11" t="s">
        <v>21</v>
      </c>
      <c r="B11" t="s">
        <v>130</v>
      </c>
      <c r="C11">
        <f t="shared" si="2"/>
        <v>1</v>
      </c>
      <c r="D11" t="s">
        <v>60</v>
      </c>
      <c r="E11" t="s">
        <v>135</v>
      </c>
      <c r="F11">
        <f t="shared" si="4"/>
        <v>2</v>
      </c>
      <c r="G11" t="s">
        <v>323</v>
      </c>
      <c r="H11" t="s">
        <v>325</v>
      </c>
      <c r="I11">
        <f t="shared" si="5"/>
        <v>10</v>
      </c>
      <c r="J11" t="str">
        <f t="shared" ref="J11" si="6">E11</f>
        <v>seupps</v>
      </c>
      <c r="K11">
        <f t="shared" si="0"/>
        <v>1</v>
      </c>
      <c r="L11">
        <f t="shared" si="1"/>
        <v>1</v>
      </c>
    </row>
    <row r="12" spans="1:12" x14ac:dyDescent="0.35">
      <c r="A12" t="s">
        <v>21</v>
      </c>
      <c r="B12" t="s">
        <v>130</v>
      </c>
      <c r="C12">
        <f t="shared" si="2"/>
        <v>1</v>
      </c>
      <c r="D12" t="s">
        <v>60</v>
      </c>
      <c r="E12" t="s">
        <v>135</v>
      </c>
      <c r="F12">
        <f t="shared" si="4"/>
        <v>2</v>
      </c>
      <c r="G12" t="s">
        <v>65</v>
      </c>
      <c r="H12" t="s">
        <v>161</v>
      </c>
      <c r="I12">
        <f t="shared" si="5"/>
        <v>11</v>
      </c>
      <c r="J12" t="str">
        <f t="shared" ref="J12:J43" si="7">E11</f>
        <v>seupps</v>
      </c>
      <c r="K12">
        <f t="shared" si="0"/>
        <v>1</v>
      </c>
      <c r="L12">
        <f t="shared" si="1"/>
        <v>1</v>
      </c>
    </row>
    <row r="13" spans="1:12" x14ac:dyDescent="0.35">
      <c r="A13" t="s">
        <v>21</v>
      </c>
      <c r="B13" t="s">
        <v>130</v>
      </c>
      <c r="C13">
        <f t="shared" si="2"/>
        <v>1</v>
      </c>
      <c r="D13" t="s">
        <v>60</v>
      </c>
      <c r="E13" t="s">
        <v>135</v>
      </c>
      <c r="F13">
        <f t="shared" si="4"/>
        <v>2</v>
      </c>
      <c r="G13" t="s">
        <v>66</v>
      </c>
      <c r="H13" t="s">
        <v>162</v>
      </c>
      <c r="I13">
        <f t="shared" si="5"/>
        <v>12</v>
      </c>
      <c r="J13" t="str">
        <f t="shared" si="7"/>
        <v>seupps</v>
      </c>
      <c r="K13">
        <f t="shared" si="0"/>
        <v>1</v>
      </c>
      <c r="L13">
        <f t="shared" si="1"/>
        <v>1</v>
      </c>
    </row>
    <row r="14" spans="1:12" x14ac:dyDescent="0.35">
      <c r="A14" t="s">
        <v>21</v>
      </c>
      <c r="B14" t="s">
        <v>130</v>
      </c>
      <c r="C14">
        <f t="shared" si="2"/>
        <v>1</v>
      </c>
      <c r="D14" t="s">
        <v>60</v>
      </c>
      <c r="E14" t="s">
        <v>135</v>
      </c>
      <c r="F14">
        <f t="shared" si="4"/>
        <v>2</v>
      </c>
      <c r="G14" t="s">
        <v>67</v>
      </c>
      <c r="H14" t="s">
        <v>163</v>
      </c>
      <c r="I14">
        <f t="shared" si="5"/>
        <v>13</v>
      </c>
      <c r="J14" t="str">
        <f t="shared" si="7"/>
        <v>seupps</v>
      </c>
      <c r="K14">
        <f t="shared" si="0"/>
        <v>1</v>
      </c>
      <c r="L14">
        <f t="shared" si="1"/>
        <v>1</v>
      </c>
    </row>
    <row r="15" spans="1:12" x14ac:dyDescent="0.35">
      <c r="A15" t="s">
        <v>21</v>
      </c>
      <c r="B15" t="s">
        <v>130</v>
      </c>
      <c r="C15">
        <f t="shared" si="2"/>
        <v>1</v>
      </c>
      <c r="D15" t="s">
        <v>60</v>
      </c>
      <c r="E15" t="s">
        <v>135</v>
      </c>
      <c r="F15">
        <f t="shared" si="4"/>
        <v>2</v>
      </c>
      <c r="G15" t="s">
        <v>68</v>
      </c>
      <c r="H15" t="s">
        <v>164</v>
      </c>
      <c r="I15">
        <f t="shared" si="5"/>
        <v>14</v>
      </c>
      <c r="J15" t="str">
        <f t="shared" si="7"/>
        <v>seupps</v>
      </c>
      <c r="K15">
        <f t="shared" si="0"/>
        <v>1</v>
      </c>
      <c r="L15">
        <f t="shared" si="1"/>
        <v>1</v>
      </c>
    </row>
    <row r="16" spans="1:12" x14ac:dyDescent="0.35">
      <c r="A16" t="s">
        <v>21</v>
      </c>
      <c r="B16" t="s">
        <v>130</v>
      </c>
      <c r="C16">
        <f t="shared" si="2"/>
        <v>1</v>
      </c>
      <c r="D16" t="s">
        <v>70</v>
      </c>
      <c r="E16" t="s">
        <v>136</v>
      </c>
      <c r="F16">
        <f t="shared" si="4"/>
        <v>3</v>
      </c>
      <c r="G16" t="s">
        <v>255</v>
      </c>
      <c r="H16" t="s">
        <v>204</v>
      </c>
      <c r="I16">
        <f t="shared" si="5"/>
        <v>15</v>
      </c>
      <c r="J16" t="str">
        <f t="shared" si="7"/>
        <v>seupps</v>
      </c>
      <c r="K16">
        <f t="shared" si="0"/>
        <v>1</v>
      </c>
      <c r="L16">
        <f t="shared" si="1"/>
        <v>1</v>
      </c>
    </row>
    <row r="17" spans="1:12" x14ac:dyDescent="0.35">
      <c r="A17" t="s">
        <v>21</v>
      </c>
      <c r="B17" t="s">
        <v>130</v>
      </c>
      <c r="C17">
        <f t="shared" si="2"/>
        <v>1</v>
      </c>
      <c r="D17" t="s">
        <v>70</v>
      </c>
      <c r="E17" t="s">
        <v>136</v>
      </c>
      <c r="F17">
        <f t="shared" si="4"/>
        <v>3</v>
      </c>
      <c r="G17" t="s">
        <v>71</v>
      </c>
      <c r="H17" t="s">
        <v>166</v>
      </c>
      <c r="I17">
        <f t="shared" si="5"/>
        <v>16</v>
      </c>
      <c r="J17" t="str">
        <f t="shared" si="7"/>
        <v>soc</v>
      </c>
      <c r="K17">
        <f t="shared" si="0"/>
        <v>1</v>
      </c>
      <c r="L17">
        <f t="shared" si="1"/>
        <v>1</v>
      </c>
    </row>
    <row r="18" spans="1:12" x14ac:dyDescent="0.35">
      <c r="A18" t="s">
        <v>21</v>
      </c>
      <c r="B18" t="s">
        <v>130</v>
      </c>
      <c r="C18">
        <f t="shared" si="2"/>
        <v>1</v>
      </c>
      <c r="D18" t="s">
        <v>70</v>
      </c>
      <c r="E18" t="s">
        <v>136</v>
      </c>
      <c r="F18">
        <f t="shared" si="4"/>
        <v>3</v>
      </c>
      <c r="G18" t="s">
        <v>72</v>
      </c>
      <c r="H18" t="s">
        <v>167</v>
      </c>
      <c r="I18">
        <f t="shared" si="5"/>
        <v>17</v>
      </c>
      <c r="J18" t="str">
        <f t="shared" si="7"/>
        <v>soc</v>
      </c>
      <c r="K18">
        <f t="shared" si="0"/>
        <v>1</v>
      </c>
      <c r="L18">
        <f t="shared" si="1"/>
        <v>1</v>
      </c>
    </row>
    <row r="19" spans="1:12" x14ac:dyDescent="0.35">
      <c r="A19" t="s">
        <v>21</v>
      </c>
      <c r="B19" t="s">
        <v>130</v>
      </c>
      <c r="C19">
        <f t="shared" si="2"/>
        <v>1</v>
      </c>
      <c r="D19" t="s">
        <v>70</v>
      </c>
      <c r="E19" t="s">
        <v>136</v>
      </c>
      <c r="F19">
        <f t="shared" si="4"/>
        <v>3</v>
      </c>
      <c r="G19" t="s">
        <v>73</v>
      </c>
      <c r="H19" t="s">
        <v>168</v>
      </c>
      <c r="I19">
        <f t="shared" si="5"/>
        <v>18</v>
      </c>
      <c r="J19" t="str">
        <f t="shared" si="7"/>
        <v>soc</v>
      </c>
      <c r="K19">
        <f t="shared" si="0"/>
        <v>1</v>
      </c>
      <c r="L19">
        <f t="shared" si="1"/>
        <v>1</v>
      </c>
    </row>
    <row r="20" spans="1:12" x14ac:dyDescent="0.35">
      <c r="A20" t="s">
        <v>21</v>
      </c>
      <c r="B20" t="s">
        <v>130</v>
      </c>
      <c r="C20">
        <f t="shared" si="2"/>
        <v>1</v>
      </c>
      <c r="D20" t="s">
        <v>75</v>
      </c>
      <c r="E20" t="s">
        <v>137</v>
      </c>
      <c r="F20">
        <f t="shared" si="4"/>
        <v>4</v>
      </c>
      <c r="G20" t="s">
        <v>74</v>
      </c>
      <c r="H20" t="s">
        <v>169</v>
      </c>
      <c r="I20">
        <f t="shared" si="5"/>
        <v>19</v>
      </c>
      <c r="J20" t="str">
        <f t="shared" si="7"/>
        <v>soc</v>
      </c>
      <c r="K20">
        <f t="shared" si="0"/>
        <v>1</v>
      </c>
      <c r="L20">
        <f t="shared" si="1"/>
        <v>1</v>
      </c>
    </row>
    <row r="21" spans="1:12" x14ac:dyDescent="0.35">
      <c r="A21" t="s">
        <v>21</v>
      </c>
      <c r="B21" t="s">
        <v>130</v>
      </c>
      <c r="C21">
        <f t="shared" si="2"/>
        <v>1</v>
      </c>
      <c r="D21" t="s">
        <v>75</v>
      </c>
      <c r="E21" t="s">
        <v>137</v>
      </c>
      <c r="F21">
        <f t="shared" si="4"/>
        <v>4</v>
      </c>
      <c r="G21" t="s">
        <v>76</v>
      </c>
      <c r="H21" t="s">
        <v>170</v>
      </c>
      <c r="I21">
        <f t="shared" si="5"/>
        <v>20</v>
      </c>
      <c r="J21" t="str">
        <f t="shared" si="7"/>
        <v>popcont</v>
      </c>
      <c r="K21">
        <f t="shared" si="0"/>
        <v>1</v>
      </c>
      <c r="L21">
        <f t="shared" si="1"/>
        <v>1</v>
      </c>
    </row>
    <row r="22" spans="1:12" x14ac:dyDescent="0.35">
      <c r="A22" t="s">
        <v>21</v>
      </c>
      <c r="B22" t="s">
        <v>130</v>
      </c>
      <c r="C22">
        <f t="shared" si="2"/>
        <v>1</v>
      </c>
      <c r="D22" t="s">
        <v>75</v>
      </c>
      <c r="E22" t="s">
        <v>137</v>
      </c>
      <c r="F22">
        <f t="shared" si="4"/>
        <v>4</v>
      </c>
      <c r="G22" t="s">
        <v>77</v>
      </c>
      <c r="H22" t="s">
        <v>171</v>
      </c>
      <c r="I22">
        <f t="shared" si="5"/>
        <v>21</v>
      </c>
      <c r="J22" t="str">
        <f t="shared" si="7"/>
        <v>popcont</v>
      </c>
      <c r="K22">
        <f t="shared" si="0"/>
        <v>1</v>
      </c>
      <c r="L22">
        <f t="shared" si="1"/>
        <v>1</v>
      </c>
    </row>
    <row r="23" spans="1:12" x14ac:dyDescent="0.35">
      <c r="A23" t="s">
        <v>21</v>
      </c>
      <c r="B23" t="s">
        <v>130</v>
      </c>
      <c r="C23">
        <f t="shared" si="2"/>
        <v>1</v>
      </c>
      <c r="D23" t="s">
        <v>75</v>
      </c>
      <c r="E23" t="s">
        <v>137</v>
      </c>
      <c r="F23">
        <f t="shared" si="4"/>
        <v>4</v>
      </c>
      <c r="G23" t="s">
        <v>78</v>
      </c>
      <c r="H23" t="s">
        <v>172</v>
      </c>
      <c r="I23">
        <f t="shared" si="5"/>
        <v>22</v>
      </c>
      <c r="J23" t="str">
        <f t="shared" si="7"/>
        <v>popcont</v>
      </c>
      <c r="K23">
        <f t="shared" si="0"/>
        <v>1</v>
      </c>
      <c r="L23">
        <f t="shared" si="1"/>
        <v>1</v>
      </c>
    </row>
    <row r="24" spans="1:12" x14ac:dyDescent="0.35">
      <c r="A24" t="s">
        <v>21</v>
      </c>
      <c r="B24" t="s">
        <v>130</v>
      </c>
      <c r="C24">
        <f t="shared" si="2"/>
        <v>1</v>
      </c>
      <c r="D24" t="s">
        <v>75</v>
      </c>
      <c r="E24" t="s">
        <v>137</v>
      </c>
      <c r="F24">
        <f t="shared" si="4"/>
        <v>4</v>
      </c>
      <c r="G24" t="s">
        <v>79</v>
      </c>
      <c r="H24" t="s">
        <v>173</v>
      </c>
      <c r="I24">
        <f t="shared" si="5"/>
        <v>23</v>
      </c>
      <c r="J24" t="str">
        <f t="shared" si="7"/>
        <v>popcont</v>
      </c>
      <c r="K24">
        <f t="shared" si="0"/>
        <v>1</v>
      </c>
      <c r="L24">
        <f t="shared" si="1"/>
        <v>1</v>
      </c>
    </row>
    <row r="25" spans="1:12" x14ac:dyDescent="0.35">
      <c r="A25" t="s">
        <v>21</v>
      </c>
      <c r="B25" t="s">
        <v>130</v>
      </c>
      <c r="C25">
        <f t="shared" si="2"/>
        <v>1</v>
      </c>
      <c r="D25" t="s">
        <v>81</v>
      </c>
      <c r="E25" t="s">
        <v>138</v>
      </c>
      <c r="F25">
        <f t="shared" si="4"/>
        <v>5</v>
      </c>
      <c r="G25" t="s">
        <v>80</v>
      </c>
      <c r="H25" t="s">
        <v>174</v>
      </c>
      <c r="I25">
        <f t="shared" si="5"/>
        <v>24</v>
      </c>
      <c r="J25" t="str">
        <f t="shared" si="7"/>
        <v>popcont</v>
      </c>
      <c r="K25">
        <f t="shared" si="0"/>
        <v>1</v>
      </c>
      <c r="L25">
        <f t="shared" si="1"/>
        <v>1</v>
      </c>
    </row>
    <row r="26" spans="1:12" x14ac:dyDescent="0.35">
      <c r="A26" t="s">
        <v>21</v>
      </c>
      <c r="B26" t="s">
        <v>130</v>
      </c>
      <c r="C26">
        <f t="shared" si="2"/>
        <v>1</v>
      </c>
      <c r="D26" t="s">
        <v>81</v>
      </c>
      <c r="E26" t="s">
        <v>138</v>
      </c>
      <c r="F26">
        <f t="shared" si="4"/>
        <v>5</v>
      </c>
      <c r="G26" t="s">
        <v>257</v>
      </c>
      <c r="H26" t="s">
        <v>151</v>
      </c>
      <c r="I26">
        <f t="shared" si="5"/>
        <v>25</v>
      </c>
      <c r="J26" t="str">
        <f t="shared" si="7"/>
        <v>crprojdesc</v>
      </c>
      <c r="K26">
        <f t="shared" si="0"/>
        <v>1</v>
      </c>
      <c r="L26">
        <f t="shared" si="1"/>
        <v>1</v>
      </c>
    </row>
    <row r="27" spans="1:12" x14ac:dyDescent="0.35">
      <c r="A27" t="s">
        <v>21</v>
      </c>
      <c r="B27" t="s">
        <v>130</v>
      </c>
      <c r="C27">
        <f t="shared" si="2"/>
        <v>1</v>
      </c>
      <c r="D27" t="s">
        <v>81</v>
      </c>
      <c r="E27" t="s">
        <v>138</v>
      </c>
      <c r="F27">
        <f t="shared" si="4"/>
        <v>5</v>
      </c>
      <c r="G27" t="s">
        <v>256</v>
      </c>
      <c r="H27" t="s">
        <v>152</v>
      </c>
      <c r="I27">
        <f t="shared" si="5"/>
        <v>26</v>
      </c>
      <c r="J27" t="str">
        <f t="shared" si="7"/>
        <v>crprojdesc</v>
      </c>
      <c r="K27">
        <f t="shared" si="0"/>
        <v>1</v>
      </c>
      <c r="L27">
        <f t="shared" si="1"/>
        <v>1</v>
      </c>
    </row>
    <row r="28" spans="1:12" x14ac:dyDescent="0.35">
      <c r="A28" t="s">
        <v>21</v>
      </c>
      <c r="B28" t="s">
        <v>130</v>
      </c>
      <c r="C28">
        <f t="shared" si="2"/>
        <v>1</v>
      </c>
      <c r="D28" t="s">
        <v>82</v>
      </c>
      <c r="E28" t="s">
        <v>139</v>
      </c>
      <c r="F28">
        <f t="shared" si="4"/>
        <v>6</v>
      </c>
      <c r="G28" t="s">
        <v>258</v>
      </c>
      <c r="H28" t="s">
        <v>153</v>
      </c>
      <c r="I28">
        <f t="shared" si="5"/>
        <v>27</v>
      </c>
      <c r="J28" t="str">
        <f t="shared" si="7"/>
        <v>crprojdesc</v>
      </c>
      <c r="K28">
        <f t="shared" si="0"/>
        <v>1</v>
      </c>
      <c r="L28">
        <f t="shared" si="1"/>
        <v>1</v>
      </c>
    </row>
    <row r="29" spans="1:12" x14ac:dyDescent="0.35">
      <c r="A29" t="s">
        <v>21</v>
      </c>
      <c r="B29" t="s">
        <v>130</v>
      </c>
      <c r="C29">
        <f t="shared" si="2"/>
        <v>1</v>
      </c>
      <c r="D29" t="s">
        <v>82</v>
      </c>
      <c r="E29" t="s">
        <v>139</v>
      </c>
      <c r="F29">
        <f t="shared" si="4"/>
        <v>6</v>
      </c>
      <c r="G29" t="s">
        <v>259</v>
      </c>
      <c r="H29" t="s">
        <v>205</v>
      </c>
      <c r="I29">
        <f t="shared" si="5"/>
        <v>28</v>
      </c>
      <c r="J29" t="str">
        <f t="shared" si="7"/>
        <v>crs101c</v>
      </c>
      <c r="K29">
        <f t="shared" si="0"/>
        <v>1</v>
      </c>
      <c r="L29">
        <f t="shared" si="1"/>
        <v>1</v>
      </c>
    </row>
    <row r="30" spans="1:12" x14ac:dyDescent="0.35">
      <c r="A30" t="s">
        <v>21</v>
      </c>
      <c r="B30" t="s">
        <v>130</v>
      </c>
      <c r="C30">
        <f t="shared" si="2"/>
        <v>1</v>
      </c>
      <c r="D30" t="s">
        <v>82</v>
      </c>
      <c r="E30" t="s">
        <v>139</v>
      </c>
      <c r="F30">
        <f t="shared" si="4"/>
        <v>6</v>
      </c>
      <c r="G30" t="s">
        <v>260</v>
      </c>
      <c r="H30" t="s">
        <v>206</v>
      </c>
      <c r="I30">
        <f t="shared" si="5"/>
        <v>29</v>
      </c>
      <c r="J30" t="str">
        <f t="shared" si="7"/>
        <v>crs101c</v>
      </c>
      <c r="K30">
        <f t="shared" si="0"/>
        <v>1</v>
      </c>
      <c r="L30">
        <f t="shared" si="1"/>
        <v>1</v>
      </c>
    </row>
    <row r="31" spans="1:12" x14ac:dyDescent="0.35">
      <c r="A31" t="s">
        <v>83</v>
      </c>
      <c r="B31" t="s">
        <v>131</v>
      </c>
      <c r="C31">
        <f t="shared" si="2"/>
        <v>2</v>
      </c>
      <c r="D31" t="s">
        <v>84</v>
      </c>
      <c r="E31" t="s">
        <v>140</v>
      </c>
      <c r="F31">
        <f t="shared" si="4"/>
        <v>7</v>
      </c>
      <c r="G31" t="s">
        <v>261</v>
      </c>
      <c r="H31" t="s">
        <v>207</v>
      </c>
      <c r="I31">
        <f t="shared" si="5"/>
        <v>30</v>
      </c>
      <c r="J31" t="str">
        <f t="shared" si="7"/>
        <v>crs101c</v>
      </c>
      <c r="K31">
        <f t="shared" si="0"/>
        <v>1</v>
      </c>
      <c r="L31">
        <f t="shared" si="1"/>
        <v>1</v>
      </c>
    </row>
    <row r="32" spans="1:12" x14ac:dyDescent="0.35">
      <c r="A32" t="s">
        <v>83</v>
      </c>
      <c r="B32" t="s">
        <v>131</v>
      </c>
      <c r="C32">
        <f t="shared" si="2"/>
        <v>2</v>
      </c>
      <c r="D32" t="s">
        <v>84</v>
      </c>
      <c r="E32" t="s">
        <v>140</v>
      </c>
      <c r="F32">
        <f t="shared" si="4"/>
        <v>7</v>
      </c>
      <c r="G32" t="s">
        <v>85</v>
      </c>
      <c r="H32" t="s">
        <v>175</v>
      </c>
      <c r="I32">
        <f t="shared" si="5"/>
        <v>31</v>
      </c>
      <c r="J32" t="str">
        <f t="shared" si="7"/>
        <v>s11</v>
      </c>
      <c r="K32">
        <f t="shared" si="0"/>
        <v>1</v>
      </c>
      <c r="L32">
        <f t="shared" si="1"/>
        <v>1</v>
      </c>
    </row>
    <row r="33" spans="1:12" x14ac:dyDescent="0.35">
      <c r="A33" t="s">
        <v>83</v>
      </c>
      <c r="B33" t="s">
        <v>131</v>
      </c>
      <c r="C33">
        <f t="shared" si="2"/>
        <v>2</v>
      </c>
      <c r="D33" t="s">
        <v>84</v>
      </c>
      <c r="E33" t="s">
        <v>140</v>
      </c>
      <c r="F33">
        <f t="shared" si="4"/>
        <v>7</v>
      </c>
      <c r="G33" t="s">
        <v>86</v>
      </c>
      <c r="H33" t="s">
        <v>176</v>
      </c>
      <c r="I33">
        <f t="shared" si="5"/>
        <v>32</v>
      </c>
      <c r="J33" t="str">
        <f t="shared" si="7"/>
        <v>s11</v>
      </c>
      <c r="K33">
        <f t="shared" si="0"/>
        <v>1</v>
      </c>
      <c r="L33">
        <f t="shared" si="1"/>
        <v>1</v>
      </c>
    </row>
    <row r="34" spans="1:12" x14ac:dyDescent="0.35">
      <c r="A34" t="s">
        <v>83</v>
      </c>
      <c r="B34" t="s">
        <v>131</v>
      </c>
      <c r="C34">
        <f t="shared" si="2"/>
        <v>2</v>
      </c>
      <c r="D34" t="s">
        <v>84</v>
      </c>
      <c r="E34" t="s">
        <v>140</v>
      </c>
      <c r="F34">
        <f t="shared" si="4"/>
        <v>7</v>
      </c>
      <c r="G34" t="s">
        <v>273</v>
      </c>
      <c r="H34" t="s">
        <v>274</v>
      </c>
      <c r="I34">
        <f t="shared" si="5"/>
        <v>33</v>
      </c>
      <c r="J34" t="str">
        <f t="shared" si="7"/>
        <v>s11</v>
      </c>
      <c r="K34">
        <f t="shared" ref="K34:K65" si="8">COUNTIF(H:H,H34)</f>
        <v>1</v>
      </c>
      <c r="L34">
        <f t="shared" ref="L34:L65" si="9">COUNTIF(G:G,G34)</f>
        <v>1</v>
      </c>
    </row>
    <row r="35" spans="1:12" x14ac:dyDescent="0.35">
      <c r="A35" t="s">
        <v>83</v>
      </c>
      <c r="B35" t="s">
        <v>131</v>
      </c>
      <c r="C35">
        <f t="shared" si="2"/>
        <v>2</v>
      </c>
      <c r="D35" t="s">
        <v>84</v>
      </c>
      <c r="E35" t="s">
        <v>140</v>
      </c>
      <c r="F35">
        <f t="shared" si="4"/>
        <v>7</v>
      </c>
      <c r="G35" t="s">
        <v>87</v>
      </c>
      <c r="H35" t="s">
        <v>177</v>
      </c>
      <c r="I35">
        <f t="shared" si="5"/>
        <v>34</v>
      </c>
      <c r="J35" t="str">
        <f t="shared" si="7"/>
        <v>s11</v>
      </c>
      <c r="K35">
        <f t="shared" si="8"/>
        <v>1</v>
      </c>
      <c r="L35">
        <f t="shared" si="9"/>
        <v>1</v>
      </c>
    </row>
    <row r="36" spans="1:12" x14ac:dyDescent="0.35">
      <c r="A36" t="s">
        <v>83</v>
      </c>
      <c r="B36" t="s">
        <v>131</v>
      </c>
      <c r="C36">
        <f t="shared" si="2"/>
        <v>2</v>
      </c>
      <c r="D36" t="s">
        <v>84</v>
      </c>
      <c r="E36" t="s">
        <v>140</v>
      </c>
      <c r="F36">
        <f t="shared" si="4"/>
        <v>7</v>
      </c>
      <c r="G36" t="s">
        <v>88</v>
      </c>
      <c r="H36" t="s">
        <v>178</v>
      </c>
      <c r="I36">
        <f t="shared" si="5"/>
        <v>35</v>
      </c>
      <c r="J36" t="str">
        <f t="shared" si="7"/>
        <v>s11</v>
      </c>
      <c r="K36">
        <f t="shared" si="8"/>
        <v>1</v>
      </c>
      <c r="L36">
        <f t="shared" si="9"/>
        <v>1</v>
      </c>
    </row>
    <row r="37" spans="1:12" x14ac:dyDescent="0.35">
      <c r="A37" t="s">
        <v>83</v>
      </c>
      <c r="B37" t="s">
        <v>131</v>
      </c>
      <c r="C37">
        <f t="shared" si="2"/>
        <v>2</v>
      </c>
      <c r="D37" t="s">
        <v>84</v>
      </c>
      <c r="E37" t="s">
        <v>140</v>
      </c>
      <c r="F37">
        <f t="shared" si="4"/>
        <v>7</v>
      </c>
      <c r="G37" t="s">
        <v>69</v>
      </c>
      <c r="H37" t="s">
        <v>165</v>
      </c>
      <c r="I37">
        <f t="shared" si="5"/>
        <v>36</v>
      </c>
      <c r="J37" t="str">
        <f t="shared" si="7"/>
        <v>s11</v>
      </c>
      <c r="K37">
        <f t="shared" si="8"/>
        <v>1</v>
      </c>
      <c r="L37">
        <f t="shared" si="9"/>
        <v>1</v>
      </c>
    </row>
    <row r="38" spans="1:12" x14ac:dyDescent="0.35">
      <c r="A38" t="s">
        <v>83</v>
      </c>
      <c r="B38" t="s">
        <v>131</v>
      </c>
      <c r="C38">
        <f t="shared" si="2"/>
        <v>2</v>
      </c>
      <c r="D38" t="s">
        <v>89</v>
      </c>
      <c r="E38" t="s">
        <v>141</v>
      </c>
      <c r="F38">
        <f t="shared" si="4"/>
        <v>8</v>
      </c>
      <c r="G38" t="s">
        <v>276</v>
      </c>
      <c r="H38" t="s">
        <v>275</v>
      </c>
      <c r="I38">
        <f t="shared" si="5"/>
        <v>37</v>
      </c>
      <c r="J38" t="str">
        <f t="shared" si="7"/>
        <v>s11</v>
      </c>
      <c r="K38">
        <f t="shared" si="8"/>
        <v>1</v>
      </c>
      <c r="L38">
        <f t="shared" si="9"/>
        <v>1</v>
      </c>
    </row>
    <row r="39" spans="1:12" x14ac:dyDescent="0.35">
      <c r="A39" t="s">
        <v>83</v>
      </c>
      <c r="B39" t="s">
        <v>131</v>
      </c>
      <c r="C39">
        <f t="shared" si="2"/>
        <v>2</v>
      </c>
      <c r="D39" t="s">
        <v>89</v>
      </c>
      <c r="E39" t="s">
        <v>141</v>
      </c>
      <c r="F39">
        <f t="shared" si="4"/>
        <v>8</v>
      </c>
      <c r="G39" t="s">
        <v>90</v>
      </c>
      <c r="H39" t="s">
        <v>179</v>
      </c>
      <c r="I39">
        <f t="shared" si="5"/>
        <v>38</v>
      </c>
      <c r="J39" t="str">
        <f t="shared" si="7"/>
        <v>valcommm</v>
      </c>
      <c r="K39">
        <f t="shared" si="8"/>
        <v>1</v>
      </c>
      <c r="L39">
        <f t="shared" si="9"/>
        <v>1</v>
      </c>
    </row>
    <row r="40" spans="1:12" x14ac:dyDescent="0.35">
      <c r="A40" t="s">
        <v>83</v>
      </c>
      <c r="B40" t="s">
        <v>131</v>
      </c>
      <c r="C40">
        <f t="shared" si="2"/>
        <v>2</v>
      </c>
      <c r="D40" t="s">
        <v>89</v>
      </c>
      <c r="E40" t="s">
        <v>141</v>
      </c>
      <c r="F40">
        <f t="shared" si="4"/>
        <v>8</v>
      </c>
      <c r="G40" t="s">
        <v>91</v>
      </c>
      <c r="H40" t="s">
        <v>180</v>
      </c>
      <c r="I40">
        <f t="shared" si="5"/>
        <v>39</v>
      </c>
      <c r="J40" t="str">
        <f t="shared" si="7"/>
        <v>valcommm</v>
      </c>
      <c r="K40">
        <f t="shared" si="8"/>
        <v>1</v>
      </c>
      <c r="L40">
        <f t="shared" si="9"/>
        <v>1</v>
      </c>
    </row>
    <row r="41" spans="1:12" x14ac:dyDescent="0.35">
      <c r="A41" t="s">
        <v>83</v>
      </c>
      <c r="B41" t="s">
        <v>131</v>
      </c>
      <c r="C41">
        <f t="shared" si="2"/>
        <v>2</v>
      </c>
      <c r="D41" t="s">
        <v>89</v>
      </c>
      <c r="E41" t="s">
        <v>141</v>
      </c>
      <c r="F41">
        <f t="shared" si="4"/>
        <v>8</v>
      </c>
      <c r="G41" t="s">
        <v>92</v>
      </c>
      <c r="H41" t="s">
        <v>181</v>
      </c>
      <c r="I41">
        <f t="shared" si="5"/>
        <v>40</v>
      </c>
      <c r="J41" t="str">
        <f t="shared" si="7"/>
        <v>valcommm</v>
      </c>
      <c r="K41">
        <f t="shared" si="8"/>
        <v>1</v>
      </c>
      <c r="L41">
        <f t="shared" si="9"/>
        <v>1</v>
      </c>
    </row>
    <row r="42" spans="1:12" x14ac:dyDescent="0.35">
      <c r="A42" t="s">
        <v>83</v>
      </c>
      <c r="B42" t="s">
        <v>131</v>
      </c>
      <c r="C42">
        <f t="shared" si="2"/>
        <v>2</v>
      </c>
      <c r="D42" t="s">
        <v>89</v>
      </c>
      <c r="E42" t="s">
        <v>141</v>
      </c>
      <c r="F42">
        <f t="shared" si="4"/>
        <v>8</v>
      </c>
      <c r="G42" t="s">
        <v>93</v>
      </c>
      <c r="H42" t="s">
        <v>182</v>
      </c>
      <c r="I42">
        <f t="shared" si="5"/>
        <v>41</v>
      </c>
      <c r="J42" t="str">
        <f t="shared" si="7"/>
        <v>valcommm</v>
      </c>
      <c r="K42">
        <f t="shared" si="8"/>
        <v>1</v>
      </c>
      <c r="L42">
        <f t="shared" si="9"/>
        <v>1</v>
      </c>
    </row>
    <row r="43" spans="1:12" x14ac:dyDescent="0.35">
      <c r="A43" t="s">
        <v>83</v>
      </c>
      <c r="B43" t="s">
        <v>131</v>
      </c>
      <c r="C43">
        <f t="shared" si="2"/>
        <v>2</v>
      </c>
      <c r="D43" t="s">
        <v>89</v>
      </c>
      <c r="E43" t="s">
        <v>141</v>
      </c>
      <c r="F43">
        <f t="shared" si="4"/>
        <v>8</v>
      </c>
      <c r="G43" t="s">
        <v>94</v>
      </c>
      <c r="H43" t="s">
        <v>183</v>
      </c>
      <c r="I43">
        <f t="shared" si="5"/>
        <v>42</v>
      </c>
      <c r="J43" t="str">
        <f t="shared" si="7"/>
        <v>valcommm</v>
      </c>
      <c r="K43">
        <f t="shared" si="8"/>
        <v>1</v>
      </c>
      <c r="L43">
        <f t="shared" si="9"/>
        <v>1</v>
      </c>
    </row>
    <row r="44" spans="1:12" x14ac:dyDescent="0.35">
      <c r="A44" t="s">
        <v>83</v>
      </c>
      <c r="B44" t="s">
        <v>131</v>
      </c>
      <c r="C44">
        <f t="shared" si="2"/>
        <v>2</v>
      </c>
      <c r="D44" t="s">
        <v>89</v>
      </c>
      <c r="E44" t="s">
        <v>141</v>
      </c>
      <c r="F44">
        <f t="shared" si="4"/>
        <v>8</v>
      </c>
      <c r="G44" t="s">
        <v>95</v>
      </c>
      <c r="H44" t="s">
        <v>184</v>
      </c>
      <c r="I44">
        <f t="shared" si="5"/>
        <v>43</v>
      </c>
      <c r="J44" t="str">
        <f t="shared" ref="J44:J75" si="10">E43</f>
        <v>valcommm</v>
      </c>
      <c r="K44">
        <f t="shared" si="8"/>
        <v>1</v>
      </c>
      <c r="L44">
        <f t="shared" si="9"/>
        <v>1</v>
      </c>
    </row>
    <row r="45" spans="1:12" x14ac:dyDescent="0.35">
      <c r="A45" t="s">
        <v>83</v>
      </c>
      <c r="B45" t="s">
        <v>131</v>
      </c>
      <c r="C45">
        <f t="shared" si="2"/>
        <v>2</v>
      </c>
      <c r="D45" t="s">
        <v>97</v>
      </c>
      <c r="E45" t="s">
        <v>142</v>
      </c>
      <c r="F45">
        <f t="shared" si="4"/>
        <v>9</v>
      </c>
      <c r="G45" t="s">
        <v>96</v>
      </c>
      <c r="H45" t="s">
        <v>185</v>
      </c>
      <c r="I45">
        <f t="shared" si="5"/>
        <v>44</v>
      </c>
      <c r="J45" t="str">
        <f t="shared" si="10"/>
        <v>valcommm</v>
      </c>
      <c r="K45">
        <f t="shared" si="8"/>
        <v>1</v>
      </c>
      <c r="L45">
        <f t="shared" si="9"/>
        <v>1</v>
      </c>
    </row>
    <row r="46" spans="1:12" x14ac:dyDescent="0.35">
      <c r="A46" t="s">
        <v>83</v>
      </c>
      <c r="B46" t="s">
        <v>131</v>
      </c>
      <c r="C46">
        <f t="shared" si="2"/>
        <v>2</v>
      </c>
      <c r="D46" t="s">
        <v>97</v>
      </c>
      <c r="E46" t="s">
        <v>142</v>
      </c>
      <c r="F46">
        <f t="shared" si="4"/>
        <v>9</v>
      </c>
      <c r="G46" t="s">
        <v>98</v>
      </c>
      <c r="H46" t="s">
        <v>186</v>
      </c>
      <c r="I46">
        <f t="shared" si="5"/>
        <v>45</v>
      </c>
      <c r="J46" t="str">
        <f t="shared" si="10"/>
        <v>wgpart</v>
      </c>
      <c r="K46">
        <f t="shared" si="8"/>
        <v>1</v>
      </c>
      <c r="L46">
        <f t="shared" si="9"/>
        <v>1</v>
      </c>
    </row>
    <row r="47" spans="1:12" x14ac:dyDescent="0.35">
      <c r="A47" t="s">
        <v>83</v>
      </c>
      <c r="B47" t="s">
        <v>131</v>
      </c>
      <c r="C47">
        <f t="shared" si="2"/>
        <v>2</v>
      </c>
      <c r="D47" t="s">
        <v>97</v>
      </c>
      <c r="E47" t="s">
        <v>142</v>
      </c>
      <c r="F47">
        <f t="shared" si="4"/>
        <v>9</v>
      </c>
      <c r="G47" t="s">
        <v>99</v>
      </c>
      <c r="H47" t="s">
        <v>187</v>
      </c>
      <c r="I47">
        <f t="shared" si="5"/>
        <v>46</v>
      </c>
      <c r="J47" t="str">
        <f t="shared" si="10"/>
        <v>wgpart</v>
      </c>
      <c r="K47">
        <f t="shared" si="8"/>
        <v>1</v>
      </c>
      <c r="L47">
        <f t="shared" si="9"/>
        <v>1</v>
      </c>
    </row>
    <row r="48" spans="1:12" x14ac:dyDescent="0.35">
      <c r="A48" t="s">
        <v>83</v>
      </c>
      <c r="B48" t="s">
        <v>131</v>
      </c>
      <c r="C48">
        <f t="shared" si="2"/>
        <v>2</v>
      </c>
      <c r="D48" t="s">
        <v>97</v>
      </c>
      <c r="E48" t="s">
        <v>142</v>
      </c>
      <c r="F48">
        <f t="shared" si="4"/>
        <v>9</v>
      </c>
      <c r="G48" t="s">
        <v>100</v>
      </c>
      <c r="H48" t="s">
        <v>188</v>
      </c>
      <c r="I48">
        <f t="shared" si="5"/>
        <v>47</v>
      </c>
      <c r="J48" t="str">
        <f t="shared" si="10"/>
        <v>wgpart</v>
      </c>
      <c r="K48">
        <f t="shared" si="8"/>
        <v>1</v>
      </c>
      <c r="L48">
        <f t="shared" si="9"/>
        <v>1</v>
      </c>
    </row>
    <row r="49" spans="1:12" x14ac:dyDescent="0.35">
      <c r="A49" t="s">
        <v>83</v>
      </c>
      <c r="B49" t="s">
        <v>131</v>
      </c>
      <c r="C49">
        <f t="shared" si="2"/>
        <v>2</v>
      </c>
      <c r="D49" t="s">
        <v>102</v>
      </c>
      <c r="E49" t="s">
        <v>143</v>
      </c>
      <c r="F49">
        <f t="shared" si="4"/>
        <v>10</v>
      </c>
      <c r="G49" t="s">
        <v>101</v>
      </c>
      <c r="H49" t="s">
        <v>189</v>
      </c>
      <c r="I49">
        <f t="shared" si="5"/>
        <v>48</v>
      </c>
      <c r="J49" t="str">
        <f t="shared" si="10"/>
        <v>wgpart</v>
      </c>
      <c r="K49">
        <f t="shared" si="8"/>
        <v>1</v>
      </c>
      <c r="L49">
        <f t="shared" si="9"/>
        <v>1</v>
      </c>
    </row>
    <row r="50" spans="1:12" x14ac:dyDescent="0.35">
      <c r="A50" t="s">
        <v>83</v>
      </c>
      <c r="B50" t="s">
        <v>131</v>
      </c>
      <c r="C50">
        <f t="shared" si="2"/>
        <v>2</v>
      </c>
      <c r="D50" t="s">
        <v>102</v>
      </c>
      <c r="E50" t="s">
        <v>143</v>
      </c>
      <c r="F50">
        <f t="shared" si="4"/>
        <v>10</v>
      </c>
      <c r="G50" t="s">
        <v>262</v>
      </c>
      <c r="H50" t="s">
        <v>208</v>
      </c>
      <c r="I50">
        <f t="shared" si="5"/>
        <v>49</v>
      </c>
      <c r="J50" t="str">
        <f t="shared" si="10"/>
        <v>drftair</v>
      </c>
      <c r="K50">
        <f t="shared" si="8"/>
        <v>1</v>
      </c>
      <c r="L50">
        <f t="shared" si="9"/>
        <v>1</v>
      </c>
    </row>
    <row r="51" spans="1:12" x14ac:dyDescent="0.35">
      <c r="A51" t="s">
        <v>83</v>
      </c>
      <c r="B51" t="s">
        <v>131</v>
      </c>
      <c r="C51">
        <f t="shared" si="2"/>
        <v>2</v>
      </c>
      <c r="D51" t="s">
        <v>102</v>
      </c>
      <c r="E51" t="s">
        <v>143</v>
      </c>
      <c r="F51">
        <f t="shared" si="4"/>
        <v>10</v>
      </c>
      <c r="G51" t="s">
        <v>264</v>
      </c>
      <c r="H51" t="s">
        <v>209</v>
      </c>
      <c r="I51">
        <f t="shared" si="5"/>
        <v>50</v>
      </c>
      <c r="J51" t="str">
        <f t="shared" si="10"/>
        <v>drftair</v>
      </c>
      <c r="K51">
        <f t="shared" si="8"/>
        <v>1</v>
      </c>
      <c r="L51">
        <f t="shared" si="9"/>
        <v>1</v>
      </c>
    </row>
    <row r="52" spans="1:12" x14ac:dyDescent="0.35">
      <c r="A52" t="s">
        <v>83</v>
      </c>
      <c r="B52" t="s">
        <v>131</v>
      </c>
      <c r="C52">
        <f t="shared" si="2"/>
        <v>2</v>
      </c>
      <c r="D52" t="s">
        <v>102</v>
      </c>
      <c r="E52" t="s">
        <v>143</v>
      </c>
      <c r="F52">
        <f t="shared" si="4"/>
        <v>10</v>
      </c>
      <c r="G52" t="s">
        <v>265</v>
      </c>
      <c r="H52" t="s">
        <v>210</v>
      </c>
      <c r="I52">
        <f t="shared" si="5"/>
        <v>51</v>
      </c>
      <c r="J52" t="str">
        <f t="shared" si="10"/>
        <v>drftair</v>
      </c>
      <c r="K52">
        <f t="shared" si="8"/>
        <v>1</v>
      </c>
      <c r="L52">
        <f t="shared" si="9"/>
        <v>1</v>
      </c>
    </row>
    <row r="53" spans="1:12" x14ac:dyDescent="0.35">
      <c r="A53" t="s">
        <v>83</v>
      </c>
      <c r="B53" t="s">
        <v>131</v>
      </c>
      <c r="C53">
        <f t="shared" si="2"/>
        <v>2</v>
      </c>
      <c r="D53" t="s">
        <v>102</v>
      </c>
      <c r="E53" t="s">
        <v>143</v>
      </c>
      <c r="F53">
        <f t="shared" si="4"/>
        <v>10</v>
      </c>
      <c r="G53" t="s">
        <v>266</v>
      </c>
      <c r="H53" t="s">
        <v>211</v>
      </c>
      <c r="I53">
        <f t="shared" si="5"/>
        <v>52</v>
      </c>
      <c r="J53" t="str">
        <f t="shared" si="10"/>
        <v>drftair</v>
      </c>
      <c r="K53">
        <f t="shared" si="8"/>
        <v>1</v>
      </c>
      <c r="L53">
        <f t="shared" si="9"/>
        <v>1</v>
      </c>
    </row>
    <row r="54" spans="1:12" x14ac:dyDescent="0.35">
      <c r="A54" t="s">
        <v>83</v>
      </c>
      <c r="B54" t="s">
        <v>131</v>
      </c>
      <c r="C54">
        <f t="shared" si="2"/>
        <v>2</v>
      </c>
      <c r="D54" t="s">
        <v>103</v>
      </c>
      <c r="E54" t="s">
        <v>144</v>
      </c>
      <c r="F54">
        <f t="shared" si="4"/>
        <v>11</v>
      </c>
      <c r="G54" t="s">
        <v>267</v>
      </c>
      <c r="H54" t="s">
        <v>212</v>
      </c>
      <c r="I54">
        <f t="shared" si="5"/>
        <v>53</v>
      </c>
      <c r="J54" t="str">
        <f t="shared" si="10"/>
        <v>drftair</v>
      </c>
      <c r="K54">
        <f t="shared" si="8"/>
        <v>1</v>
      </c>
      <c r="L54">
        <f t="shared" si="9"/>
        <v>1</v>
      </c>
    </row>
    <row r="55" spans="1:12" x14ac:dyDescent="0.35">
      <c r="A55" t="s">
        <v>83</v>
      </c>
      <c r="B55" t="s">
        <v>131</v>
      </c>
      <c r="C55">
        <f t="shared" si="2"/>
        <v>2</v>
      </c>
      <c r="D55" t="s">
        <v>103</v>
      </c>
      <c r="E55" t="s">
        <v>144</v>
      </c>
      <c r="F55">
        <f t="shared" si="4"/>
        <v>11</v>
      </c>
      <c r="G55" t="s">
        <v>263</v>
      </c>
      <c r="H55" t="s">
        <v>213</v>
      </c>
      <c r="I55">
        <f t="shared" si="5"/>
        <v>54</v>
      </c>
      <c r="J55" t="str">
        <f t="shared" si="10"/>
        <v>crair</v>
      </c>
      <c r="K55">
        <f t="shared" si="8"/>
        <v>1</v>
      </c>
      <c r="L55">
        <f t="shared" si="9"/>
        <v>1</v>
      </c>
    </row>
    <row r="56" spans="1:12" x14ac:dyDescent="0.35">
      <c r="A56" t="s">
        <v>83</v>
      </c>
      <c r="B56" t="s">
        <v>131</v>
      </c>
      <c r="C56">
        <f t="shared" si="2"/>
        <v>2</v>
      </c>
      <c r="D56" t="s">
        <v>103</v>
      </c>
      <c r="E56" t="s">
        <v>144</v>
      </c>
      <c r="F56">
        <f t="shared" si="4"/>
        <v>11</v>
      </c>
      <c r="G56" t="s">
        <v>268</v>
      </c>
      <c r="H56" t="s">
        <v>190</v>
      </c>
      <c r="I56">
        <f t="shared" si="5"/>
        <v>55</v>
      </c>
      <c r="J56" t="str">
        <f t="shared" si="10"/>
        <v>crair</v>
      </c>
      <c r="K56">
        <f t="shared" si="8"/>
        <v>1</v>
      </c>
      <c r="L56">
        <f t="shared" si="9"/>
        <v>1</v>
      </c>
    </row>
    <row r="57" spans="1:12" x14ac:dyDescent="0.35">
      <c r="A57" t="s">
        <v>83</v>
      </c>
      <c r="B57" t="s">
        <v>131</v>
      </c>
      <c r="C57">
        <f t="shared" si="2"/>
        <v>2</v>
      </c>
      <c r="D57" t="s">
        <v>103</v>
      </c>
      <c r="E57" t="s">
        <v>144</v>
      </c>
      <c r="F57">
        <f t="shared" si="4"/>
        <v>11</v>
      </c>
      <c r="G57" t="s">
        <v>269</v>
      </c>
      <c r="H57" t="s">
        <v>191</v>
      </c>
      <c r="I57">
        <f t="shared" si="5"/>
        <v>56</v>
      </c>
      <c r="J57" t="str">
        <f t="shared" si="10"/>
        <v>crair</v>
      </c>
      <c r="K57">
        <f t="shared" si="8"/>
        <v>1</v>
      </c>
      <c r="L57">
        <f t="shared" si="9"/>
        <v>1</v>
      </c>
    </row>
    <row r="58" spans="1:12" x14ac:dyDescent="0.35">
      <c r="A58" t="s">
        <v>83</v>
      </c>
      <c r="B58" t="s">
        <v>131</v>
      </c>
      <c r="C58">
        <f t="shared" si="2"/>
        <v>2</v>
      </c>
      <c r="D58" t="s">
        <v>103</v>
      </c>
      <c r="E58" t="s">
        <v>144</v>
      </c>
      <c r="F58">
        <f t="shared" si="4"/>
        <v>11</v>
      </c>
      <c r="G58" t="s">
        <v>270</v>
      </c>
      <c r="H58" t="s">
        <v>192</v>
      </c>
      <c r="I58">
        <f t="shared" si="5"/>
        <v>57</v>
      </c>
      <c r="J58" t="str">
        <f t="shared" si="10"/>
        <v>crair</v>
      </c>
      <c r="K58">
        <f t="shared" si="8"/>
        <v>1</v>
      </c>
      <c r="L58">
        <f t="shared" si="9"/>
        <v>1</v>
      </c>
    </row>
    <row r="59" spans="1:12" x14ac:dyDescent="0.35">
      <c r="A59" t="s">
        <v>83</v>
      </c>
      <c r="B59" t="s">
        <v>131</v>
      </c>
      <c r="C59">
        <f t="shared" si="2"/>
        <v>2</v>
      </c>
      <c r="D59" t="s">
        <v>104</v>
      </c>
      <c r="E59" t="s">
        <v>145</v>
      </c>
      <c r="F59">
        <f t="shared" si="4"/>
        <v>12</v>
      </c>
      <c r="G59" t="s">
        <v>271</v>
      </c>
      <c r="H59" t="s">
        <v>193</v>
      </c>
      <c r="I59">
        <f t="shared" si="5"/>
        <v>58</v>
      </c>
      <c r="J59" t="str">
        <f t="shared" si="10"/>
        <v>crair</v>
      </c>
      <c r="K59">
        <f t="shared" si="8"/>
        <v>1</v>
      </c>
      <c r="L59">
        <f t="shared" si="9"/>
        <v>1</v>
      </c>
    </row>
    <row r="60" spans="1:12" x14ac:dyDescent="0.35">
      <c r="A60" t="s">
        <v>83</v>
      </c>
      <c r="B60" t="s">
        <v>131</v>
      </c>
      <c r="C60">
        <f t="shared" si="2"/>
        <v>2</v>
      </c>
      <c r="D60" t="s">
        <v>105</v>
      </c>
      <c r="E60" t="s">
        <v>215</v>
      </c>
      <c r="F60">
        <f t="shared" si="4"/>
        <v>13</v>
      </c>
      <c r="G60" t="s">
        <v>272</v>
      </c>
      <c r="H60" t="s">
        <v>214</v>
      </c>
      <c r="I60">
        <f t="shared" si="5"/>
        <v>59</v>
      </c>
      <c r="J60" t="str">
        <f t="shared" si="10"/>
        <v>crapp</v>
      </c>
      <c r="K60">
        <f t="shared" si="8"/>
        <v>1</v>
      </c>
      <c r="L60">
        <f t="shared" si="9"/>
        <v>1</v>
      </c>
    </row>
    <row r="61" spans="1:12" x14ac:dyDescent="0.35">
      <c r="A61" t="s">
        <v>83</v>
      </c>
      <c r="B61" t="s">
        <v>131</v>
      </c>
      <c r="C61">
        <f t="shared" si="2"/>
        <v>2</v>
      </c>
      <c r="D61" t="s">
        <v>106</v>
      </c>
      <c r="E61" t="s">
        <v>146</v>
      </c>
      <c r="F61">
        <f t="shared" si="4"/>
        <v>14</v>
      </c>
      <c r="G61" t="s">
        <v>326</v>
      </c>
      <c r="H61" t="s">
        <v>216</v>
      </c>
      <c r="I61">
        <f t="shared" si="5"/>
        <v>60</v>
      </c>
      <c r="J61" t="str">
        <f t="shared" si="10"/>
        <v>crtoc</v>
      </c>
      <c r="K61">
        <f t="shared" si="8"/>
        <v>1</v>
      </c>
      <c r="L61">
        <f t="shared" si="9"/>
        <v>1</v>
      </c>
    </row>
    <row r="62" spans="1:12" x14ac:dyDescent="0.35">
      <c r="A62" t="s">
        <v>83</v>
      </c>
      <c r="B62" t="s">
        <v>131</v>
      </c>
      <c r="C62">
        <f t="shared" si="2"/>
        <v>2</v>
      </c>
      <c r="D62" t="s">
        <v>106</v>
      </c>
      <c r="E62" t="s">
        <v>146</v>
      </c>
      <c r="F62">
        <f t="shared" si="4"/>
        <v>14</v>
      </c>
      <c r="G62" t="s">
        <v>107</v>
      </c>
      <c r="H62" t="s">
        <v>217</v>
      </c>
      <c r="I62">
        <f t="shared" si="5"/>
        <v>61</v>
      </c>
      <c r="J62" t="str">
        <f t="shared" si="10"/>
        <v>preappwrap</v>
      </c>
      <c r="K62">
        <f t="shared" si="8"/>
        <v>1</v>
      </c>
      <c r="L62">
        <f t="shared" si="9"/>
        <v>1</v>
      </c>
    </row>
    <row r="63" spans="1:12" x14ac:dyDescent="0.35">
      <c r="A63" t="s">
        <v>83</v>
      </c>
      <c r="B63" t="s">
        <v>131</v>
      </c>
      <c r="C63">
        <f t="shared" si="2"/>
        <v>2</v>
      </c>
      <c r="D63" t="s">
        <v>106</v>
      </c>
      <c r="E63" t="s">
        <v>146</v>
      </c>
      <c r="F63">
        <f t="shared" si="4"/>
        <v>14</v>
      </c>
      <c r="G63" t="s">
        <v>108</v>
      </c>
      <c r="H63" t="s">
        <v>218</v>
      </c>
      <c r="I63">
        <f t="shared" si="5"/>
        <v>62</v>
      </c>
      <c r="J63" t="str">
        <f t="shared" si="10"/>
        <v>preappwrap</v>
      </c>
      <c r="K63">
        <f t="shared" si="8"/>
        <v>1</v>
      </c>
      <c r="L63">
        <f t="shared" si="9"/>
        <v>1</v>
      </c>
    </row>
    <row r="64" spans="1:12" x14ac:dyDescent="0.35">
      <c r="A64" t="s">
        <v>22</v>
      </c>
      <c r="B64" t="s">
        <v>132</v>
      </c>
      <c r="C64">
        <f t="shared" si="2"/>
        <v>3</v>
      </c>
      <c r="D64" t="s">
        <v>110</v>
      </c>
      <c r="E64" t="s">
        <v>148</v>
      </c>
      <c r="F64">
        <f t="shared" si="4"/>
        <v>15</v>
      </c>
      <c r="G64" t="s">
        <v>109</v>
      </c>
      <c r="H64" t="s">
        <v>226</v>
      </c>
      <c r="I64">
        <f t="shared" si="5"/>
        <v>63</v>
      </c>
      <c r="J64" t="str">
        <f t="shared" si="10"/>
        <v>preappwrap</v>
      </c>
      <c r="K64">
        <f t="shared" si="8"/>
        <v>1</v>
      </c>
      <c r="L64">
        <f t="shared" si="9"/>
        <v>1</v>
      </c>
    </row>
    <row r="65" spans="1:12" x14ac:dyDescent="0.35">
      <c r="A65" t="s">
        <v>22</v>
      </c>
      <c r="B65" t="s">
        <v>132</v>
      </c>
      <c r="C65">
        <f t="shared" si="2"/>
        <v>3</v>
      </c>
      <c r="D65" t="s">
        <v>110</v>
      </c>
      <c r="E65" t="s">
        <v>148</v>
      </c>
      <c r="F65">
        <f t="shared" si="4"/>
        <v>15</v>
      </c>
      <c r="G65" t="s">
        <v>111</v>
      </c>
      <c r="H65" t="s">
        <v>196</v>
      </c>
      <c r="I65">
        <f t="shared" si="5"/>
        <v>64</v>
      </c>
      <c r="J65" t="str">
        <f t="shared" si="10"/>
        <v>initeval</v>
      </c>
      <c r="K65">
        <f t="shared" si="8"/>
        <v>1</v>
      </c>
      <c r="L65">
        <f t="shared" si="9"/>
        <v>1</v>
      </c>
    </row>
    <row r="66" spans="1:12" x14ac:dyDescent="0.35">
      <c r="A66" t="s">
        <v>22</v>
      </c>
      <c r="B66" t="s">
        <v>132</v>
      </c>
      <c r="C66">
        <f t="shared" si="2"/>
        <v>3</v>
      </c>
      <c r="D66" t="s">
        <v>110</v>
      </c>
      <c r="E66" t="s">
        <v>148</v>
      </c>
      <c r="F66">
        <f t="shared" si="4"/>
        <v>15</v>
      </c>
      <c r="G66" t="s">
        <v>112</v>
      </c>
      <c r="H66" t="s">
        <v>219</v>
      </c>
      <c r="I66">
        <f t="shared" si="5"/>
        <v>65</v>
      </c>
      <c r="J66" t="str">
        <f t="shared" si="10"/>
        <v>initeval</v>
      </c>
      <c r="K66">
        <f t="shared" ref="K66:K81" si="11">COUNTIF(H:H,H66)</f>
        <v>1</v>
      </c>
      <c r="L66">
        <f t="shared" ref="L66:L81" si="12">COUNTIF(G:G,G66)</f>
        <v>1</v>
      </c>
    </row>
    <row r="67" spans="1:12" x14ac:dyDescent="0.35">
      <c r="A67" t="s">
        <v>22</v>
      </c>
      <c r="B67" t="s">
        <v>132</v>
      </c>
      <c r="C67">
        <f t="shared" ref="C67:C80" si="13">IF(B67=B66,C66,C66+1)</f>
        <v>3</v>
      </c>
      <c r="D67" t="s">
        <v>110</v>
      </c>
      <c r="E67" t="s">
        <v>148</v>
      </c>
      <c r="F67">
        <f t="shared" si="4"/>
        <v>15</v>
      </c>
      <c r="G67" t="s">
        <v>113</v>
      </c>
      <c r="H67" t="s">
        <v>197</v>
      </c>
      <c r="I67">
        <f t="shared" si="5"/>
        <v>66</v>
      </c>
      <c r="J67" t="str">
        <f t="shared" si="10"/>
        <v>initeval</v>
      </c>
      <c r="K67">
        <f t="shared" si="11"/>
        <v>1</v>
      </c>
      <c r="L67">
        <f t="shared" si="12"/>
        <v>1</v>
      </c>
    </row>
    <row r="68" spans="1:12" x14ac:dyDescent="0.35">
      <c r="A68" t="s">
        <v>22</v>
      </c>
      <c r="B68" t="s">
        <v>132</v>
      </c>
      <c r="C68">
        <f t="shared" si="13"/>
        <v>3</v>
      </c>
      <c r="D68" t="s">
        <v>110</v>
      </c>
      <c r="E68" t="s">
        <v>148</v>
      </c>
      <c r="F68">
        <f t="shared" ref="F68:F80" si="14">IF(E68=E67,F67,F67+1)</f>
        <v>15</v>
      </c>
      <c r="G68" t="s">
        <v>277</v>
      </c>
      <c r="H68" t="s">
        <v>220</v>
      </c>
      <c r="I68">
        <f t="shared" ref="I68:I81" si="15">IF(H68=H67,I67,I67+1)</f>
        <v>67</v>
      </c>
      <c r="J68" t="str">
        <f t="shared" si="10"/>
        <v>initeval</v>
      </c>
      <c r="K68">
        <f t="shared" si="11"/>
        <v>1</v>
      </c>
      <c r="L68">
        <f t="shared" si="12"/>
        <v>1</v>
      </c>
    </row>
    <row r="69" spans="1:12" x14ac:dyDescent="0.35">
      <c r="A69" t="s">
        <v>22</v>
      </c>
      <c r="B69" t="s">
        <v>132</v>
      </c>
      <c r="C69">
        <f t="shared" si="13"/>
        <v>3</v>
      </c>
      <c r="D69" t="s">
        <v>110</v>
      </c>
      <c r="E69" t="s">
        <v>148</v>
      </c>
      <c r="F69">
        <f t="shared" si="14"/>
        <v>15</v>
      </c>
      <c r="G69" t="s">
        <v>114</v>
      </c>
      <c r="H69" t="s">
        <v>221</v>
      </c>
      <c r="I69">
        <f t="shared" si="15"/>
        <v>68</v>
      </c>
      <c r="J69" t="str">
        <f t="shared" si="10"/>
        <v>initeval</v>
      </c>
      <c r="K69">
        <f t="shared" si="11"/>
        <v>1</v>
      </c>
      <c r="L69">
        <f t="shared" si="12"/>
        <v>1</v>
      </c>
    </row>
    <row r="70" spans="1:12" x14ac:dyDescent="0.35">
      <c r="A70" t="s">
        <v>22</v>
      </c>
      <c r="B70" t="s">
        <v>132</v>
      </c>
      <c r="C70">
        <f t="shared" si="13"/>
        <v>3</v>
      </c>
      <c r="D70" t="s">
        <v>115</v>
      </c>
      <c r="E70" t="s">
        <v>147</v>
      </c>
      <c r="F70">
        <f t="shared" si="14"/>
        <v>16</v>
      </c>
      <c r="G70" t="s">
        <v>327</v>
      </c>
      <c r="H70" t="s">
        <v>222</v>
      </c>
      <c r="I70">
        <f t="shared" si="15"/>
        <v>69</v>
      </c>
      <c r="J70" t="str">
        <f t="shared" si="10"/>
        <v>initeval</v>
      </c>
      <c r="K70">
        <f t="shared" si="11"/>
        <v>1</v>
      </c>
      <c r="L70">
        <f t="shared" si="12"/>
        <v>1</v>
      </c>
    </row>
    <row r="71" spans="1:12" x14ac:dyDescent="0.35">
      <c r="A71" t="s">
        <v>22</v>
      </c>
      <c r="B71" t="s">
        <v>132</v>
      </c>
      <c r="C71">
        <f t="shared" si="13"/>
        <v>3</v>
      </c>
      <c r="D71" t="s">
        <v>115</v>
      </c>
      <c r="E71" t="s">
        <v>147</v>
      </c>
      <c r="F71">
        <f t="shared" si="14"/>
        <v>16</v>
      </c>
      <c r="G71" t="s">
        <v>278</v>
      </c>
      <c r="H71" t="s">
        <v>223</v>
      </c>
      <c r="I71">
        <f t="shared" si="15"/>
        <v>70</v>
      </c>
      <c r="J71" t="str">
        <f t="shared" si="10"/>
        <v>evalwrap</v>
      </c>
      <c r="K71">
        <f t="shared" si="11"/>
        <v>1</v>
      </c>
      <c r="L71">
        <f t="shared" si="12"/>
        <v>1</v>
      </c>
    </row>
    <row r="72" spans="1:12" x14ac:dyDescent="0.35">
      <c r="A72" t="s">
        <v>22</v>
      </c>
      <c r="B72" t="s">
        <v>132</v>
      </c>
      <c r="C72">
        <f t="shared" si="13"/>
        <v>3</v>
      </c>
      <c r="D72" t="s">
        <v>115</v>
      </c>
      <c r="E72" t="s">
        <v>147</v>
      </c>
      <c r="F72">
        <f t="shared" si="14"/>
        <v>16</v>
      </c>
      <c r="G72" t="s">
        <v>116</v>
      </c>
      <c r="H72" t="s">
        <v>194</v>
      </c>
      <c r="I72">
        <f t="shared" si="15"/>
        <v>71</v>
      </c>
      <c r="J72" t="str">
        <f t="shared" si="10"/>
        <v>evalwrap</v>
      </c>
      <c r="K72">
        <f t="shared" si="11"/>
        <v>1</v>
      </c>
      <c r="L72">
        <f t="shared" si="12"/>
        <v>1</v>
      </c>
    </row>
    <row r="73" spans="1:12" x14ac:dyDescent="0.35">
      <c r="A73" t="s">
        <v>23</v>
      </c>
      <c r="B73" t="s">
        <v>133</v>
      </c>
      <c r="C73">
        <f t="shared" si="13"/>
        <v>4</v>
      </c>
      <c r="D73" t="s">
        <v>117</v>
      </c>
      <c r="E73" t="s">
        <v>149</v>
      </c>
      <c r="F73">
        <f t="shared" si="14"/>
        <v>17</v>
      </c>
      <c r="G73" t="s">
        <v>279</v>
      </c>
      <c r="H73" t="s">
        <v>195</v>
      </c>
      <c r="I73">
        <f t="shared" si="15"/>
        <v>72</v>
      </c>
      <c r="J73" t="str">
        <f t="shared" si="10"/>
        <v>evalwrap</v>
      </c>
      <c r="K73">
        <f t="shared" si="11"/>
        <v>1</v>
      </c>
      <c r="L73">
        <f t="shared" si="12"/>
        <v>1</v>
      </c>
    </row>
    <row r="74" spans="1:12" x14ac:dyDescent="0.35">
      <c r="A74" t="s">
        <v>23</v>
      </c>
      <c r="B74" t="s">
        <v>133</v>
      </c>
      <c r="C74">
        <f t="shared" si="13"/>
        <v>4</v>
      </c>
      <c r="D74" t="s">
        <v>117</v>
      </c>
      <c r="E74" t="s">
        <v>149</v>
      </c>
      <c r="F74">
        <f t="shared" si="14"/>
        <v>17</v>
      </c>
      <c r="G74" t="s">
        <v>118</v>
      </c>
      <c r="H74" t="s">
        <v>224</v>
      </c>
      <c r="I74">
        <f t="shared" si="15"/>
        <v>73</v>
      </c>
      <c r="J74" t="str">
        <f t="shared" si="10"/>
        <v>initrev</v>
      </c>
      <c r="K74">
        <f t="shared" si="11"/>
        <v>1</v>
      </c>
      <c r="L74">
        <f t="shared" si="12"/>
        <v>1</v>
      </c>
    </row>
    <row r="75" spans="1:12" x14ac:dyDescent="0.35">
      <c r="A75" t="s">
        <v>23</v>
      </c>
      <c r="B75" t="s">
        <v>133</v>
      </c>
      <c r="C75">
        <f t="shared" si="13"/>
        <v>4</v>
      </c>
      <c r="D75" t="s">
        <v>117</v>
      </c>
      <c r="E75" t="s">
        <v>149</v>
      </c>
      <c r="F75">
        <f t="shared" si="14"/>
        <v>17</v>
      </c>
      <c r="G75" t="s">
        <v>280</v>
      </c>
      <c r="H75" t="s">
        <v>198</v>
      </c>
      <c r="I75">
        <f t="shared" si="15"/>
        <v>74</v>
      </c>
      <c r="J75" t="str">
        <f t="shared" si="10"/>
        <v>initrev</v>
      </c>
      <c r="K75">
        <f t="shared" si="11"/>
        <v>1</v>
      </c>
      <c r="L75">
        <f t="shared" si="12"/>
        <v>1</v>
      </c>
    </row>
    <row r="76" spans="1:12" x14ac:dyDescent="0.35">
      <c r="A76" t="s">
        <v>23</v>
      </c>
      <c r="B76" t="s">
        <v>133</v>
      </c>
      <c r="C76">
        <f t="shared" si="13"/>
        <v>4</v>
      </c>
      <c r="D76" t="s">
        <v>117</v>
      </c>
      <c r="E76" t="s">
        <v>149</v>
      </c>
      <c r="F76">
        <f t="shared" si="14"/>
        <v>17</v>
      </c>
      <c r="G76" t="s">
        <v>281</v>
      </c>
      <c r="H76" t="s">
        <v>199</v>
      </c>
      <c r="I76">
        <f t="shared" si="15"/>
        <v>75</v>
      </c>
      <c r="J76" t="str">
        <f t="shared" ref="J76:J81" si="16">E75</f>
        <v>initrev</v>
      </c>
      <c r="K76">
        <f t="shared" si="11"/>
        <v>1</v>
      </c>
      <c r="L76">
        <f t="shared" si="12"/>
        <v>1</v>
      </c>
    </row>
    <row r="77" spans="1:12" x14ac:dyDescent="0.35">
      <c r="A77" t="s">
        <v>23</v>
      </c>
      <c r="B77" t="s">
        <v>133</v>
      </c>
      <c r="C77">
        <f t="shared" si="13"/>
        <v>4</v>
      </c>
      <c r="D77" t="s">
        <v>117</v>
      </c>
      <c r="E77" t="s">
        <v>149</v>
      </c>
      <c r="F77">
        <f t="shared" si="14"/>
        <v>17</v>
      </c>
      <c r="G77" t="s">
        <v>282</v>
      </c>
      <c r="H77" t="s">
        <v>200</v>
      </c>
      <c r="I77">
        <f t="shared" si="15"/>
        <v>76</v>
      </c>
      <c r="J77" t="str">
        <f t="shared" si="16"/>
        <v>initrev</v>
      </c>
      <c r="K77">
        <f t="shared" si="11"/>
        <v>1</v>
      </c>
      <c r="L77">
        <f t="shared" si="12"/>
        <v>1</v>
      </c>
    </row>
    <row r="78" spans="1:12" x14ac:dyDescent="0.35">
      <c r="A78" t="s">
        <v>23</v>
      </c>
      <c r="B78" t="s">
        <v>133</v>
      </c>
      <c r="C78">
        <f t="shared" si="13"/>
        <v>4</v>
      </c>
      <c r="D78" t="s">
        <v>119</v>
      </c>
      <c r="E78" t="s">
        <v>150</v>
      </c>
      <c r="F78">
        <f t="shared" si="14"/>
        <v>18</v>
      </c>
      <c r="G78" s="8" t="s">
        <v>328</v>
      </c>
      <c r="H78" t="s">
        <v>225</v>
      </c>
      <c r="I78">
        <f t="shared" si="15"/>
        <v>77</v>
      </c>
      <c r="J78" t="str">
        <f t="shared" si="16"/>
        <v>initrev</v>
      </c>
      <c r="K78">
        <f t="shared" si="11"/>
        <v>1</v>
      </c>
      <c r="L78">
        <f t="shared" si="12"/>
        <v>1</v>
      </c>
    </row>
    <row r="79" spans="1:12" x14ac:dyDescent="0.35">
      <c r="A79" t="s">
        <v>23</v>
      </c>
      <c r="B79" t="s">
        <v>133</v>
      </c>
      <c r="C79">
        <f t="shared" si="13"/>
        <v>4</v>
      </c>
      <c r="D79" t="s">
        <v>119</v>
      </c>
      <c r="E79" t="s">
        <v>150</v>
      </c>
      <c r="F79">
        <f t="shared" si="14"/>
        <v>18</v>
      </c>
      <c r="G79" t="s">
        <v>120</v>
      </c>
      <c r="H79" t="s">
        <v>201</v>
      </c>
      <c r="I79">
        <f t="shared" si="15"/>
        <v>78</v>
      </c>
      <c r="J79" t="str">
        <f t="shared" si="16"/>
        <v>pubcomm</v>
      </c>
      <c r="K79">
        <f t="shared" si="11"/>
        <v>1</v>
      </c>
      <c r="L79">
        <f t="shared" si="12"/>
        <v>1</v>
      </c>
    </row>
    <row r="80" spans="1:12" x14ac:dyDescent="0.35">
      <c r="A80" t="s">
        <v>23</v>
      </c>
      <c r="B80" t="s">
        <v>133</v>
      </c>
      <c r="C80">
        <f t="shared" si="13"/>
        <v>4</v>
      </c>
      <c r="D80" t="s">
        <v>119</v>
      </c>
      <c r="E80" t="s">
        <v>150</v>
      </c>
      <c r="F80">
        <f t="shared" si="14"/>
        <v>18</v>
      </c>
      <c r="G80" t="s">
        <v>121</v>
      </c>
      <c r="H80" t="s">
        <v>202</v>
      </c>
      <c r="I80">
        <f t="shared" si="15"/>
        <v>79</v>
      </c>
      <c r="J80" t="str">
        <f t="shared" si="16"/>
        <v>pubcomm</v>
      </c>
      <c r="K80">
        <f t="shared" si="11"/>
        <v>1</v>
      </c>
      <c r="L80">
        <f t="shared" si="12"/>
        <v>1</v>
      </c>
    </row>
    <row r="81" spans="7:12" x14ac:dyDescent="0.35">
      <c r="G81" t="s">
        <v>122</v>
      </c>
      <c r="H81" t="s">
        <v>203</v>
      </c>
      <c r="I81">
        <f t="shared" si="15"/>
        <v>80</v>
      </c>
      <c r="J81" t="str">
        <f t="shared" si="16"/>
        <v>pubcomm</v>
      </c>
      <c r="K81">
        <f t="shared" si="11"/>
        <v>1</v>
      </c>
      <c r="L81">
        <f t="shared" si="12"/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zoomScaleNormal="100" workbookViewId="0">
      <selection activeCell="B23" sqref="B23"/>
    </sheetView>
  </sheetViews>
  <sheetFormatPr defaultRowHeight="15.5" x14ac:dyDescent="0.35"/>
  <cols>
    <col min="3" max="3" width="27.5" bestFit="1" customWidth="1"/>
    <col min="4" max="4" width="26.58203125" bestFit="1" customWidth="1"/>
  </cols>
  <sheetData>
    <row r="1" spans="1:4" x14ac:dyDescent="0.35">
      <c r="A1" t="s">
        <v>0</v>
      </c>
      <c r="B1" t="s">
        <v>12</v>
      </c>
      <c r="C1" t="s">
        <v>13</v>
      </c>
      <c r="D1" t="s">
        <v>299</v>
      </c>
    </row>
    <row r="2" spans="1:4" x14ac:dyDescent="0.35">
      <c r="A2" t="s">
        <v>303</v>
      </c>
      <c r="B2" t="s">
        <v>300</v>
      </c>
      <c r="C2" t="s">
        <v>301</v>
      </c>
    </row>
    <row r="3" spans="1:4" x14ac:dyDescent="0.35">
      <c r="A3" t="s">
        <v>303</v>
      </c>
      <c r="B3" t="s">
        <v>299</v>
      </c>
      <c r="C3" t="s">
        <v>302</v>
      </c>
      <c r="D3" t="s">
        <v>298</v>
      </c>
    </row>
    <row r="4" spans="1:4" x14ac:dyDescent="0.35">
      <c r="A4" t="s">
        <v>304</v>
      </c>
      <c r="B4" t="s">
        <v>300</v>
      </c>
      <c r="C4" t="s">
        <v>301</v>
      </c>
    </row>
    <row r="5" spans="1:4" x14ac:dyDescent="0.35">
      <c r="A5" t="s">
        <v>304</v>
      </c>
      <c r="B5" t="s">
        <v>300</v>
      </c>
      <c r="C5" t="s">
        <v>20</v>
      </c>
    </row>
    <row r="6" spans="1:4" x14ac:dyDescent="0.35">
      <c r="A6" t="s">
        <v>305</v>
      </c>
      <c r="B6" t="s">
        <v>300</v>
      </c>
      <c r="C6" t="s">
        <v>301</v>
      </c>
    </row>
    <row r="7" spans="1:4" x14ac:dyDescent="0.35">
      <c r="A7" t="s">
        <v>305</v>
      </c>
      <c r="B7" t="s">
        <v>300</v>
      </c>
      <c r="C7" t="s">
        <v>306</v>
      </c>
    </row>
    <row r="8" spans="1:4" x14ac:dyDescent="0.35">
      <c r="A8" t="s">
        <v>307</v>
      </c>
      <c r="B8" t="s">
        <v>300</v>
      </c>
      <c r="C8" t="s">
        <v>20</v>
      </c>
    </row>
    <row r="9" spans="1:4" x14ac:dyDescent="0.35">
      <c r="A9" t="s">
        <v>307</v>
      </c>
      <c r="B9" t="s">
        <v>300</v>
      </c>
      <c r="C9" t="s">
        <v>301</v>
      </c>
    </row>
    <row r="10" spans="1:4" x14ac:dyDescent="0.35">
      <c r="A10" t="s">
        <v>307</v>
      </c>
      <c r="B10" t="s">
        <v>300</v>
      </c>
      <c r="C10" t="s">
        <v>306</v>
      </c>
    </row>
    <row r="11" spans="1:4" x14ac:dyDescent="0.35">
      <c r="A11" t="s">
        <v>308</v>
      </c>
      <c r="B11" t="s">
        <v>300</v>
      </c>
      <c r="C11" t="s">
        <v>20</v>
      </c>
    </row>
    <row r="12" spans="1:4" x14ac:dyDescent="0.35">
      <c r="A12" t="s">
        <v>308</v>
      </c>
      <c r="B12" t="s">
        <v>299</v>
      </c>
      <c r="C12" t="s">
        <v>298</v>
      </c>
      <c r="D12" t="s">
        <v>302</v>
      </c>
    </row>
    <row r="13" spans="1:4" x14ac:dyDescent="0.35">
      <c r="A13" t="s">
        <v>308</v>
      </c>
      <c r="B13" t="s">
        <v>299</v>
      </c>
      <c r="C13" t="s">
        <v>309</v>
      </c>
      <c r="D13" t="s">
        <v>310</v>
      </c>
    </row>
    <row r="14" spans="1:4" x14ac:dyDescent="0.35">
      <c r="A14" t="s">
        <v>303</v>
      </c>
      <c r="B14" t="s">
        <v>299</v>
      </c>
      <c r="C14" t="s">
        <v>297</v>
      </c>
      <c r="D14" t="s">
        <v>314</v>
      </c>
    </row>
    <row r="15" spans="1:4" x14ac:dyDescent="0.35">
      <c r="A15" t="s">
        <v>303</v>
      </c>
      <c r="B15" t="s">
        <v>299</v>
      </c>
      <c r="C15" t="s">
        <v>311</v>
      </c>
      <c r="D15" t="s">
        <v>315</v>
      </c>
    </row>
    <row r="16" spans="1:4" x14ac:dyDescent="0.35">
      <c r="A16" t="s">
        <v>303</v>
      </c>
      <c r="B16" t="s">
        <v>299</v>
      </c>
      <c r="C16" t="s">
        <v>312</v>
      </c>
      <c r="D16" t="s">
        <v>316</v>
      </c>
    </row>
    <row r="17" spans="1:4" x14ac:dyDescent="0.35">
      <c r="A17" t="s">
        <v>303</v>
      </c>
      <c r="B17" t="s">
        <v>299</v>
      </c>
      <c r="C17" t="s">
        <v>313</v>
      </c>
      <c r="D17" t="s">
        <v>317</v>
      </c>
    </row>
    <row r="18" spans="1:4" x14ac:dyDescent="0.35">
      <c r="A18" t="s">
        <v>304</v>
      </c>
      <c r="B18" t="s">
        <v>299</v>
      </c>
      <c r="C18" t="s">
        <v>298</v>
      </c>
      <c r="D18" t="s">
        <v>302</v>
      </c>
    </row>
    <row r="19" spans="1:4" x14ac:dyDescent="0.35">
      <c r="A19" t="s">
        <v>304</v>
      </c>
      <c r="B19" t="s">
        <v>299</v>
      </c>
      <c r="C19" t="s">
        <v>309</v>
      </c>
      <c r="D19" t="s">
        <v>310</v>
      </c>
    </row>
    <row r="20" spans="1:4" x14ac:dyDescent="0.35">
      <c r="A20" t="s">
        <v>304</v>
      </c>
      <c r="B20" t="s">
        <v>299</v>
      </c>
      <c r="C20" t="s">
        <v>297</v>
      </c>
      <c r="D20" t="s">
        <v>314</v>
      </c>
    </row>
    <row r="21" spans="1:4" x14ac:dyDescent="0.35">
      <c r="A21" t="s">
        <v>304</v>
      </c>
      <c r="B21" t="s">
        <v>299</v>
      </c>
      <c r="C21" t="s">
        <v>311</v>
      </c>
      <c r="D21" t="s">
        <v>315</v>
      </c>
    </row>
    <row r="22" spans="1:4" x14ac:dyDescent="0.35">
      <c r="A22" t="s">
        <v>304</v>
      </c>
      <c r="B22" t="s">
        <v>299</v>
      </c>
      <c r="C22" t="s">
        <v>312</v>
      </c>
      <c r="D22" t="s">
        <v>316</v>
      </c>
    </row>
    <row r="23" spans="1:4" x14ac:dyDescent="0.35">
      <c r="A23" t="s">
        <v>304</v>
      </c>
      <c r="B23" t="s">
        <v>299</v>
      </c>
      <c r="C23" t="s">
        <v>313</v>
      </c>
      <c r="D23" t="s">
        <v>317</v>
      </c>
    </row>
    <row r="24" spans="1:4" x14ac:dyDescent="0.35">
      <c r="A24" t="s">
        <v>305</v>
      </c>
      <c r="B24" t="s">
        <v>299</v>
      </c>
      <c r="C24" t="s">
        <v>297</v>
      </c>
      <c r="D24" t="s">
        <v>314</v>
      </c>
    </row>
    <row r="25" spans="1:4" x14ac:dyDescent="0.35">
      <c r="A25" t="s">
        <v>305</v>
      </c>
      <c r="B25" t="s">
        <v>299</v>
      </c>
      <c r="C25" t="s">
        <v>311</v>
      </c>
      <c r="D25" t="s">
        <v>315</v>
      </c>
    </row>
    <row r="26" spans="1:4" x14ac:dyDescent="0.35">
      <c r="A26" t="s">
        <v>305</v>
      </c>
      <c r="B26" t="s">
        <v>299</v>
      </c>
      <c r="C26" t="s">
        <v>312</v>
      </c>
      <c r="D26" t="s">
        <v>316</v>
      </c>
    </row>
    <row r="27" spans="1:4" x14ac:dyDescent="0.35">
      <c r="A27" t="s">
        <v>305</v>
      </c>
      <c r="B27" t="s">
        <v>299</v>
      </c>
      <c r="C27" t="s">
        <v>313</v>
      </c>
      <c r="D27" t="s">
        <v>317</v>
      </c>
    </row>
    <row r="28" spans="1:4" x14ac:dyDescent="0.35">
      <c r="A28" t="s">
        <v>305</v>
      </c>
      <c r="B28" t="s">
        <v>299</v>
      </c>
      <c r="C28" t="s">
        <v>318</v>
      </c>
      <c r="D28" t="s">
        <v>321</v>
      </c>
    </row>
    <row r="29" spans="1:4" x14ac:dyDescent="0.35">
      <c r="A29" t="s">
        <v>305</v>
      </c>
      <c r="B29" t="s">
        <v>299</v>
      </c>
      <c r="C29" t="s">
        <v>319</v>
      </c>
      <c r="D29" t="s">
        <v>320</v>
      </c>
    </row>
    <row r="30" spans="1:4" x14ac:dyDescent="0.35">
      <c r="A30" t="s">
        <v>307</v>
      </c>
      <c r="B30" t="s">
        <v>299</v>
      </c>
      <c r="C30" t="s">
        <v>318</v>
      </c>
      <c r="D30" t="s">
        <v>321</v>
      </c>
    </row>
    <row r="31" spans="1:4" x14ac:dyDescent="0.35">
      <c r="A31" t="s">
        <v>307</v>
      </c>
      <c r="B31" t="s">
        <v>299</v>
      </c>
      <c r="C31" t="s">
        <v>319</v>
      </c>
      <c r="D31" t="s">
        <v>320</v>
      </c>
    </row>
    <row r="32" spans="1:4" x14ac:dyDescent="0.35">
      <c r="A32" t="s">
        <v>307</v>
      </c>
      <c r="B32" t="s">
        <v>299</v>
      </c>
      <c r="C32" t="s">
        <v>298</v>
      </c>
      <c r="D32" t="s">
        <v>302</v>
      </c>
    </row>
    <row r="33" spans="1:4" x14ac:dyDescent="0.35">
      <c r="A33" t="s">
        <v>307</v>
      </c>
      <c r="B33" t="s">
        <v>299</v>
      </c>
      <c r="C33" t="s">
        <v>309</v>
      </c>
      <c r="D33" t="s">
        <v>310</v>
      </c>
    </row>
    <row r="34" spans="1:4" x14ac:dyDescent="0.35">
      <c r="A34" t="s">
        <v>307</v>
      </c>
      <c r="B34" t="s">
        <v>299</v>
      </c>
      <c r="C34" t="s">
        <v>297</v>
      </c>
      <c r="D34" t="s">
        <v>314</v>
      </c>
    </row>
    <row r="35" spans="1:4" x14ac:dyDescent="0.35">
      <c r="A35" t="s">
        <v>307</v>
      </c>
      <c r="B35" t="s">
        <v>299</v>
      </c>
      <c r="C35" t="s">
        <v>311</v>
      </c>
      <c r="D35" t="s">
        <v>315</v>
      </c>
    </row>
    <row r="36" spans="1:4" x14ac:dyDescent="0.35">
      <c r="A36" t="s">
        <v>307</v>
      </c>
      <c r="B36" t="s">
        <v>299</v>
      </c>
      <c r="C36" t="s">
        <v>312</v>
      </c>
      <c r="D36" t="s">
        <v>316</v>
      </c>
    </row>
    <row r="37" spans="1:4" x14ac:dyDescent="0.35">
      <c r="A37" t="s">
        <v>307</v>
      </c>
      <c r="B37" t="s">
        <v>299</v>
      </c>
      <c r="C37" t="s">
        <v>313</v>
      </c>
      <c r="D37" t="s">
        <v>317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87"/>
  <sheetViews>
    <sheetView workbookViewId="0">
      <pane ySplit="1" topLeftCell="A2" activePane="bottomLeft" state="frozen"/>
      <selection pane="bottomLeft" activeCell="B1" sqref="B1"/>
    </sheetView>
  </sheetViews>
  <sheetFormatPr defaultRowHeight="15.5" x14ac:dyDescent="0.35"/>
  <cols>
    <col min="1" max="1" width="15.6640625" bestFit="1" customWidth="1"/>
    <col min="2" max="2" width="5" bestFit="1" customWidth="1"/>
    <col min="4" max="4" width="72.08203125" bestFit="1" customWidth="1"/>
    <col min="7" max="7" width="26.4140625" bestFit="1" customWidth="1"/>
  </cols>
  <sheetData>
    <row r="1" spans="1:8" s="2" customFormat="1" x14ac:dyDescent="0.35">
      <c r="A1" s="2" t="s">
        <v>0</v>
      </c>
      <c r="B1" s="2" t="s">
        <v>1</v>
      </c>
      <c r="C1" s="2" t="s">
        <v>30</v>
      </c>
      <c r="D1" s="2" t="s">
        <v>2</v>
      </c>
      <c r="E1" s="2" t="s">
        <v>283</v>
      </c>
      <c r="F1" s="2" t="s">
        <v>284</v>
      </c>
      <c r="G1" s="2" t="s">
        <v>287</v>
      </c>
      <c r="H1" s="2" t="s">
        <v>288</v>
      </c>
    </row>
    <row r="2" spans="1:8" x14ac:dyDescent="0.35">
      <c r="A2" t="str">
        <f>IF(ISBLANK(Tasks!A2),"-",Tasks!A2&amp;"-"&amp;VLOOKUP(Tasks!B2,ActTasks!G:J,3,FALSE))</f>
        <v>knob-1</v>
      </c>
      <c r="B2">
        <f>VLOOKUP(Tasks!B2,ActTasks!G:I,3,FALSE)</f>
        <v>1</v>
      </c>
      <c r="C2" t="str">
        <f>VLOOKUP(Tasks!B2,ActTasks!G:I,2,FALSE)</f>
        <v>reprol</v>
      </c>
      <c r="D2" t="str">
        <f>Tasks!B2</f>
        <v>Review project description (high Level)</v>
      </c>
      <c r="E2" t="str">
        <f>Tasks!C2</f>
        <v>Complete</v>
      </c>
      <c r="F2" t="str">
        <f>Tasks!D2</f>
        <v>notifications</v>
      </c>
      <c r="G2" t="str">
        <f>"rg:dataset('status.csv','"&amp;Tasks!E2&amp;"')"</f>
        <v>rg:dataset('status.csv','regular')</v>
      </c>
      <c r="H2" t="str">
        <f>"rg:{}"</f>
        <v>rg:{}</v>
      </c>
    </row>
    <row r="3" spans="1:8" x14ac:dyDescent="0.35">
      <c r="A3" t="str">
        <f>IF(ISBLANK(Tasks!A3),"-",Tasks!A3&amp;"-"&amp;VLOOKUP(Tasks!B3,ActTasks!G:J,3,FALSE))</f>
        <v>knob-2</v>
      </c>
      <c r="B3">
        <f>VLOOKUP(Tasks!B3,ActTasks!G:I,3,FALSE)</f>
        <v>2</v>
      </c>
      <c r="C3" t="str">
        <f>VLOOKUP(Tasks!B3,ActTasks!G:I,2,FALSE)</f>
        <v>deapp10</v>
      </c>
      <c r="D3" t="str">
        <f>Tasks!B3</f>
        <v>Determine appropriate Project Process - Section 10</v>
      </c>
      <c r="E3" t="str">
        <f>Tasks!C3</f>
        <v>Complete</v>
      </c>
      <c r="F3" t="str">
        <f>Tasks!D3</f>
        <v>notifications</v>
      </c>
      <c r="G3" t="str">
        <f>"rg:dataset('status.csv','"&amp;Tasks!E3&amp;"')"</f>
        <v>rg:dataset('status.csv','regular')</v>
      </c>
      <c r="H3" t="str">
        <f t="shared" ref="H3:H66" si="0">"rg:{}"</f>
        <v>rg:{}</v>
      </c>
    </row>
    <row r="4" spans="1:8" x14ac:dyDescent="0.35">
      <c r="A4" t="str">
        <f>IF(ISBLANK(Tasks!A4),"-",Tasks!A4&amp;"-"&amp;VLOOKUP(Tasks!B4,ActTasks!G:J,3,FALSE))</f>
        <v>knob-3</v>
      </c>
      <c r="B4">
        <f>VLOOKUP(Tasks!B4,ActTasks!G:I,3,FALSE)</f>
        <v>3</v>
      </c>
      <c r="C4" t="str">
        <f>VLOOKUP(Tasks!B4,ActTasks!G:I,2,FALSE)</f>
        <v>gedefon</v>
      </c>
      <c r="D4" t="str">
        <f>Tasks!B4</f>
        <v>Generate Default Project Template based on above selection</v>
      </c>
      <c r="E4" t="str">
        <f>Tasks!C4</f>
        <v>Complete</v>
      </c>
      <c r="F4" t="str">
        <f>Tasks!D4</f>
        <v>notifications</v>
      </c>
      <c r="G4" t="str">
        <f>"rg:dataset('status.csv','"&amp;Tasks!E4&amp;"')"</f>
        <v>rg:dataset('status.csv','regular')</v>
      </c>
      <c r="H4" t="str">
        <f t="shared" si="0"/>
        <v>rg:{}</v>
      </c>
    </row>
    <row r="5" spans="1:8" x14ac:dyDescent="0.35">
      <c r="A5" t="str">
        <f>IF(ISBLANK(Tasks!A5),"-",Tasks!A5&amp;"-"&amp;VLOOKUP(Tasks!B5,ActTasks!G:J,3,FALSE))</f>
        <v>knob-4</v>
      </c>
      <c r="B5">
        <f>VLOOKUP(Tasks!B5,ActTasks!G:I,3,FALSE)</f>
        <v>4</v>
      </c>
      <c r="C5" t="str">
        <f>VLOOKUP(Tasks!B5,ActTasks!G:I,2,FALSE)</f>
        <v>kpplaER</v>
      </c>
      <c r="D5" t="str">
        <f>Tasks!B5</f>
        <v>KPI PLACEHOLDER</v>
      </c>
      <c r="E5" t="str">
        <f>Tasks!C5</f>
        <v>Complete</v>
      </c>
      <c r="F5" t="str">
        <f>Tasks!D5</f>
        <v>notifications</v>
      </c>
      <c r="G5" t="str">
        <f>"rg:dataset('status.csv','"&amp;Tasks!E5&amp;"')"</f>
        <v>rg:dataset('status.csv','regular')</v>
      </c>
      <c r="H5" t="str">
        <f t="shared" si="0"/>
        <v>rg:{}</v>
      </c>
    </row>
    <row r="6" spans="1:8" x14ac:dyDescent="0.35">
      <c r="A6" t="str">
        <f>IF(ISBLANK(Tasks!A6),"-",Tasks!A6&amp;"-"&amp;VLOOKUP(Tasks!B6,ActTasks!G:J,3,FALSE))</f>
        <v>knob-5</v>
      </c>
      <c r="B6">
        <f>VLOOKUP(Tasks!B6,ActTasks!G:I,3,FALSE)</f>
        <v>5</v>
      </c>
      <c r="C6" t="str">
        <f>VLOOKUP(Tasks!B6,ActTasks!G:I,2,FALSE)</f>
        <v>reandan</v>
      </c>
      <c r="D6" t="str">
        <f>Tasks!B6</f>
        <v>Review and Modify Tasks in Plan</v>
      </c>
      <c r="E6" t="str">
        <f>Tasks!C6</f>
        <v>Complete</v>
      </c>
      <c r="F6" t="str">
        <f>Tasks!D6</f>
        <v>notifications</v>
      </c>
      <c r="G6" t="str">
        <f>"rg:dataset('status.csv','"&amp;Tasks!E6&amp;"')"</f>
        <v>rg:dataset('status.csv','regular')</v>
      </c>
      <c r="H6" t="str">
        <f t="shared" si="0"/>
        <v>rg:{}</v>
      </c>
    </row>
    <row r="7" spans="1:8" x14ac:dyDescent="0.35">
      <c r="A7" t="str">
        <f>IF(ISBLANK(Tasks!A7),"-",Tasks!A7&amp;"-"&amp;VLOOKUP(Tasks!B7,ActTasks!G:J,3,FALSE))</f>
        <v>knob-6</v>
      </c>
      <c r="B7">
        <f>VLOOKUP(Tasks!B7,ActTasks!G:I,3,FALSE)</f>
        <v>6</v>
      </c>
      <c r="C7" t="str">
        <f>VLOOKUP(Tasks!B7,ActTasks!G:I,2,FALSE)</f>
        <v>admilan</v>
      </c>
      <c r="D7" t="str">
        <f>Tasks!B7</f>
        <v>Add Milestone Dates to the Plan</v>
      </c>
      <c r="E7" t="str">
        <f>Tasks!C7</f>
        <v>Complete</v>
      </c>
      <c r="F7" t="str">
        <f>Tasks!D7</f>
        <v>notifications</v>
      </c>
      <c r="G7" t="str">
        <f>"rg:dataset('status.csv','"&amp;Tasks!E7&amp;"')"</f>
        <v>rg:dataset('status.csv','regular')</v>
      </c>
      <c r="H7" t="str">
        <f t="shared" si="0"/>
        <v>rg:{}</v>
      </c>
    </row>
    <row r="8" spans="1:8" x14ac:dyDescent="0.35">
      <c r="A8" t="str">
        <f>IF(ISBLANK(Tasks!A8),"-",Tasks!A8&amp;"-"&amp;VLOOKUP(Tasks!B8,ActTasks!G:J,3,FALSE))</f>
        <v>knob-7</v>
      </c>
      <c r="B8">
        <f>VLOOKUP(Tasks!B8,ActTasks!G:I,3,FALSE)</f>
        <v>7</v>
      </c>
      <c r="C8" t="str">
        <f>VLOOKUP(Tasks!B8,ActTasks!G:I,2,FALSE)</f>
        <v>crproem</v>
      </c>
      <c r="D8" t="str">
        <f>Tasks!B8</f>
        <v>Create Project Team and Assign roles in System</v>
      </c>
      <c r="E8" t="str">
        <f>Tasks!C8</f>
        <v>Complete</v>
      </c>
      <c r="F8" t="str">
        <f>Tasks!D8</f>
        <v>notifications</v>
      </c>
      <c r="G8" t="str">
        <f>"rg:dataset('status.csv','"&amp;Tasks!E8&amp;"')"</f>
        <v>rg:dataset('status.csv','regular')</v>
      </c>
      <c r="H8" t="str">
        <f t="shared" si="0"/>
        <v>rg:{}</v>
      </c>
    </row>
    <row r="9" spans="1:8" x14ac:dyDescent="0.35">
      <c r="A9" t="str">
        <f>IF(ISBLANK(Tasks!A9),"-",Tasks!A9&amp;"-"&amp;VLOOKUP(Tasks!B9,ActTasks!G:J,3,FALSE))</f>
        <v>knob-8</v>
      </c>
      <c r="B9">
        <f>VLOOKUP(Tasks!B9,ActTasks!G:I,3,FALSE)</f>
        <v>8</v>
      </c>
      <c r="C9" t="str">
        <f>VLOOKUP(Tasks!B9,ActTasks!G:I,2,FALSE)</f>
        <v>reandem</v>
      </c>
      <c r="D9" t="str">
        <f>Tasks!B9</f>
        <v>Review and populate Stakeholder Members in System</v>
      </c>
      <c r="E9" t="str">
        <f>Tasks!C9</f>
        <v>Complete</v>
      </c>
      <c r="F9" t="str">
        <f>Tasks!D9</f>
        <v>notifications</v>
      </c>
      <c r="G9" t="str">
        <f>"rg:dataset('status.csv','"&amp;Tasks!E9&amp;"')"</f>
        <v>rg:dataset('status.csv','regular')</v>
      </c>
      <c r="H9" t="str">
        <f t="shared" si="0"/>
        <v>rg:{}</v>
      </c>
    </row>
    <row r="10" spans="1:8" x14ac:dyDescent="0.35">
      <c r="A10" t="str">
        <f>IF(ISBLANK(Tasks!A10),"-",Tasks!A10&amp;"-"&amp;VLOOKUP(Tasks!B10,ActTasks!G:J,3,FALSE))</f>
        <v>knob-9</v>
      </c>
      <c r="B10">
        <f>VLOOKUP(Tasks!B10,ActTasks!G:I,3,FALSE)</f>
        <v>9</v>
      </c>
      <c r="C10" t="str">
        <f>VLOOKUP(Tasks!B10,ActTasks!G:I,2,FALSE)</f>
        <v>eaocoandem</v>
      </c>
      <c r="D10" t="str">
        <f>Tasks!B10</f>
        <v>EAO Confirm and Modify Value Components created in system</v>
      </c>
      <c r="E10" t="str">
        <f>Tasks!C10</f>
        <v>Complete</v>
      </c>
      <c r="F10" t="str">
        <f>Tasks!D10</f>
        <v>notifications</v>
      </c>
      <c r="G10" t="str">
        <f>"rg:dataset('status.csv','"&amp;Tasks!E10&amp;"')"</f>
        <v>rg:dataset('status.csv','regular')</v>
      </c>
      <c r="H10" t="str">
        <f t="shared" si="0"/>
        <v>rg:{}</v>
      </c>
    </row>
    <row r="11" spans="1:8" x14ac:dyDescent="0.35">
      <c r="A11" t="str">
        <f>IF(ISBLANK(Tasks!A11),"-",Tasks!A11&amp;"-"&amp;VLOOKUP(Tasks!B11,ActTasks!G:J,3,FALSE))</f>
        <v>knob-10</v>
      </c>
      <c r="B11">
        <f>VLOOKUP(Tasks!B11,ActTasks!G:I,3,FALSE)</f>
        <v>10</v>
      </c>
      <c r="C11" t="str">
        <f>VLOOKUP(Tasks!B11,ActTasks!G:I,2,FALSE)</f>
        <v>propcoandem</v>
      </c>
      <c r="D11" t="str">
        <f>Tasks!B11</f>
        <v>Proponent Confirm and Modify Value Components created in system</v>
      </c>
      <c r="E11" t="str">
        <f>Tasks!C11</f>
        <v>Complete</v>
      </c>
      <c r="F11" t="str">
        <f>Tasks!D11</f>
        <v>notifications</v>
      </c>
      <c r="G11" t="str">
        <f>"rg:dataset('status.csv','"&amp;Tasks!E11&amp;"')"</f>
        <v>rg:dataset('status.csv','regular')</v>
      </c>
      <c r="H11" t="str">
        <f t="shared" si="0"/>
        <v>rg:{}</v>
      </c>
    </row>
    <row r="12" spans="1:8" x14ac:dyDescent="0.35">
      <c r="A12" t="str">
        <f>IF(ISBLANK(Tasks!A12),"-",Tasks!A12&amp;"-"&amp;VLOOKUP(Tasks!B12,ActTasks!G:J,3,FALSE))</f>
        <v>knob-11</v>
      </c>
      <c r="B12">
        <f>VLOOKUP(Tasks!B12,ActTasks!G:I,3,FALSE)</f>
        <v>11</v>
      </c>
      <c r="C12" t="str">
        <f>VLOOKUP(Tasks!B12,ActTasks!G:I,2,FALSE)</f>
        <v>poisses</v>
      </c>
      <c r="D12" t="str">
        <f>Tasks!B12</f>
        <v>Populate Issue Tracking Table with known issues</v>
      </c>
      <c r="E12" t="str">
        <f>Tasks!C12</f>
        <v>Complete</v>
      </c>
      <c r="F12" t="str">
        <f>Tasks!D12</f>
        <v>notifications</v>
      </c>
      <c r="G12" t="str">
        <f>"rg:dataset('status.csv','"&amp;Tasks!E12&amp;"')"</f>
        <v>rg:dataset('status.csv','regular')</v>
      </c>
      <c r="H12" t="str">
        <f t="shared" si="0"/>
        <v>rg:{}</v>
      </c>
    </row>
    <row r="13" spans="1:8" x14ac:dyDescent="0.35">
      <c r="A13" t="str">
        <f>IF(ISBLANK(Tasks!A13),"-",Tasks!A13&amp;"-"&amp;VLOOKUP(Tasks!B13,ActTasks!G:J,3,FALSE))</f>
        <v>knob-12</v>
      </c>
      <c r="B13">
        <f>VLOOKUP(Tasks!B13,ActTasks!G:I,3,FALSE)</f>
        <v>12</v>
      </c>
      <c r="C13" t="str">
        <f>VLOOKUP(Tasks!B13,ActTasks!G:I,2,FALSE)</f>
        <v>pofnits</v>
      </c>
      <c r="D13" t="str">
        <f>Tasks!B13</f>
        <v>Populate FNI Tracking Table with known Interests</v>
      </c>
      <c r="E13" t="str">
        <f>Tasks!C13</f>
        <v>Complete</v>
      </c>
      <c r="F13" t="str">
        <f>Tasks!D13</f>
        <v>notifications</v>
      </c>
      <c r="G13" t="str">
        <f>"rg:dataset('status.csv','"&amp;Tasks!E13&amp;"')"</f>
        <v>rg:dataset('status.csv','regular')</v>
      </c>
      <c r="H13" t="str">
        <f t="shared" si="0"/>
        <v>rg:{}</v>
      </c>
    </row>
    <row r="14" spans="1:8" x14ac:dyDescent="0.35">
      <c r="A14" t="str">
        <f>IF(ISBLANK(Tasks!A14),"-",Tasks!A14&amp;"-"&amp;VLOOKUP(Tasks!B14,ActTasks!G:J,3,FALSE))</f>
        <v>knob-13</v>
      </c>
      <c r="B14">
        <f>VLOOKUP(Tasks!B14,ActTasks!G:I,3,FALSE)</f>
        <v>13</v>
      </c>
      <c r="C14" t="str">
        <f>VLOOKUP(Tasks!B14,ActTasks!G:I,2,FALSE)</f>
        <v>reandix</v>
      </c>
      <c r="D14" t="str">
        <f>Tasks!B14</f>
        <v>Review and Modify Notification Matrix</v>
      </c>
      <c r="E14" t="str">
        <f>Tasks!C14</f>
        <v>Complete</v>
      </c>
      <c r="F14" t="str">
        <f>Tasks!D14</f>
        <v>notifications</v>
      </c>
      <c r="G14" t="str">
        <f>"rg:dataset('status.csv','"&amp;Tasks!E14&amp;"')"</f>
        <v>rg:dataset('status.csv','regular')</v>
      </c>
      <c r="H14" t="str">
        <f t="shared" si="0"/>
        <v>rg:{}</v>
      </c>
    </row>
    <row r="15" spans="1:8" x14ac:dyDescent="0.35">
      <c r="A15" t="str">
        <f>IF(ISBLANK(Tasks!A15),"-",Tasks!A15&amp;"-"&amp;VLOOKUP(Tasks!B15,ActTasks!G:J,3,FALSE))</f>
        <v>knob-14</v>
      </c>
      <c r="B15">
        <f>VLOOKUP(Tasks!B15,ActTasks!G:I,3,FALSE)</f>
        <v>14</v>
      </c>
      <c r="C15" t="str">
        <f>VLOOKUP(Tasks!B15,ActTasks!G:I,2,FALSE)</f>
        <v>approew</v>
      </c>
      <c r="D15" t="str">
        <f>Tasks!B15</f>
        <v>Approve ProjectSpace for Proponent View</v>
      </c>
      <c r="E15" t="str">
        <f>Tasks!C15</f>
        <v>Complete</v>
      </c>
      <c r="F15" t="str">
        <f>Tasks!D15</f>
        <v>notifications</v>
      </c>
      <c r="G15" t="str">
        <f>"rg:dataset('status.csv','"&amp;Tasks!E15&amp;"')"</f>
        <v>rg:dataset('status.csv','regular')</v>
      </c>
      <c r="H15" t="str">
        <f t="shared" si="0"/>
        <v>rg:{}</v>
      </c>
    </row>
    <row r="16" spans="1:8" x14ac:dyDescent="0.35">
      <c r="A16" t="str">
        <f>IF(ISBLANK(Tasks!A16),"-",Tasks!A16&amp;"-"&amp;VLOOKUP(Tasks!B16,ActTasks!G:J,3,FALSE))</f>
        <v>knob-15</v>
      </c>
      <c r="B16">
        <f>VLOOKUP(Tasks!B16,ActTasks!G:I,3,FALSE)</f>
        <v>15</v>
      </c>
      <c r="C16" t="str">
        <f>VLOOKUP(Tasks!B16,ActTasks!G:I,2,FALSE)</f>
        <v>noprontps</v>
      </c>
      <c r="D16" t="str">
        <f>Tasks!B16</f>
        <v>Notify Proponent about Project Space</v>
      </c>
      <c r="E16" t="str">
        <f>Tasks!C16</f>
        <v>Complete</v>
      </c>
      <c r="F16" t="str">
        <f>Tasks!D16</f>
        <v>notifications</v>
      </c>
      <c r="G16" t="str">
        <f>"rg:dataset('status.csv','"&amp;Tasks!E16&amp;"')"</f>
        <v>rg:dataset('status.csv','regular')</v>
      </c>
      <c r="H16" t="str">
        <f t="shared" si="0"/>
        <v>rg:{}</v>
      </c>
    </row>
    <row r="17" spans="1:8" x14ac:dyDescent="0.35">
      <c r="A17" t="str">
        <f>IF(ISBLANK(Tasks!A17),"-",Tasks!A17&amp;"-"&amp;VLOOKUP(Tasks!B17,ActTasks!G:J,3,FALSE))</f>
        <v>knob-16</v>
      </c>
      <c r="B17">
        <f>VLOOKUP(Tasks!B17,ActTasks!G:I,3,FALSE)</f>
        <v>16</v>
      </c>
      <c r="C17" t="str">
        <f>VLOOKUP(Tasks!B17,ActTasks!G:I,2,FALSE)</f>
        <v xml:space="preserve">idfirn </v>
      </c>
      <c r="D17" t="str">
        <f>Tasks!B17</f>
        <v xml:space="preserve">Identify First Nations for Consultation </v>
      </c>
      <c r="E17" t="str">
        <f>Tasks!C17</f>
        <v>Complete</v>
      </c>
      <c r="F17" t="str">
        <f>Tasks!D17</f>
        <v>notifications</v>
      </c>
      <c r="G17" t="str">
        <f>"rg:dataset('status.csv','"&amp;Tasks!E17&amp;"')"</f>
        <v>rg:dataset('status.csv','regular')</v>
      </c>
      <c r="H17" t="str">
        <f t="shared" si="0"/>
        <v>rg:{}</v>
      </c>
    </row>
    <row r="18" spans="1:8" x14ac:dyDescent="0.35">
      <c r="A18" t="str">
        <f>IF(ISBLANK(Tasks!A18),"-",Tasks!A18&amp;"-"&amp;VLOOKUP(Tasks!B18,ActTasks!G:J,3,FALSE))</f>
        <v>knob-17</v>
      </c>
      <c r="B18">
        <f>VLOOKUP(Tasks!B18,ActTasks!G:I,3,FALSE)</f>
        <v>17</v>
      </c>
      <c r="C18" t="str">
        <f>VLOOKUP(Tasks!B18,ActTasks!G:I,2,FALSE)</f>
        <v>refirim</v>
      </c>
      <c r="D18" t="str">
        <f>Tasks!B18</f>
        <v>Research First Nations Strength of Claim</v>
      </c>
      <c r="E18" t="str">
        <f>Tasks!C18</f>
        <v>Complete</v>
      </c>
      <c r="F18" t="str">
        <f>Tasks!D18</f>
        <v>notifications</v>
      </c>
      <c r="G18" t="str">
        <f>"rg:dataset('status.csv','"&amp;Tasks!E18&amp;"')"</f>
        <v>rg:dataset('status.csv','regular')</v>
      </c>
      <c r="H18" t="str">
        <f t="shared" si="0"/>
        <v>rg:{}</v>
      </c>
    </row>
    <row r="19" spans="1:8" x14ac:dyDescent="0.35">
      <c r="A19" t="str">
        <f>IF(ISBLANK(Tasks!A19),"-",Tasks!A19&amp;"-"&amp;VLOOKUP(Tasks!B19,ActTasks!G:J,3,FALSE))</f>
        <v>knob-18</v>
      </c>
      <c r="B19">
        <f>VLOOKUP(Tasks!B19,ActTasks!G:I,3,FALSE)</f>
        <v>18</v>
      </c>
      <c r="C19" t="str">
        <f>VLOOKUP(Tasks!B19,ActTasks!G:I,2,FALSE)</f>
        <v>seconel</v>
      </c>
      <c r="D19" t="str">
        <f>Tasks!B19</f>
        <v>Set Consultation level</v>
      </c>
      <c r="E19" t="str">
        <f>Tasks!C19</f>
        <v>Complete</v>
      </c>
      <c r="F19" t="str">
        <f>Tasks!D19</f>
        <v>notifications</v>
      </c>
      <c r="G19" t="str">
        <f>"rg:dataset('status.csv','"&amp;Tasks!E19&amp;"')"</f>
        <v>rg:dataset('status.csv','regular')</v>
      </c>
      <c r="H19" t="str">
        <f t="shared" si="0"/>
        <v>rg:{}</v>
      </c>
    </row>
    <row r="20" spans="1:8" x14ac:dyDescent="0.35">
      <c r="A20" t="str">
        <f>IF(ISBLANK(Tasks!A20),"-",Tasks!A20&amp;"-"&amp;VLOOKUP(Tasks!B20,ActTasks!G:J,3,FALSE))</f>
        <v>knob-19</v>
      </c>
      <c r="B20">
        <f>VLOOKUP(Tasks!B20,ActTasks!G:I,3,FALSE)</f>
        <v>19</v>
      </c>
      <c r="C20" t="str">
        <f>VLOOKUP(Tasks!B20,ActTasks!G:I,2,FALSE)</f>
        <v>amstast</v>
      </c>
      <c r="D20" t="str">
        <f>Tasks!B20</f>
        <v>Amend Stakeholder List</v>
      </c>
      <c r="E20" t="str">
        <f>Tasks!C20</f>
        <v>Complete</v>
      </c>
      <c r="F20" t="str">
        <f>Tasks!D20</f>
        <v>notifications</v>
      </c>
      <c r="G20" t="str">
        <f>"rg:dataset('status.csv','"&amp;Tasks!E20&amp;"')"</f>
        <v>rg:dataset('status.csv','regular')</v>
      </c>
      <c r="H20" t="str">
        <f t="shared" si="0"/>
        <v>rg:{}</v>
      </c>
    </row>
    <row r="21" spans="1:8" x14ac:dyDescent="0.35">
      <c r="A21" t="str">
        <f>IF(ISBLANK(Tasks!A21),"-",Tasks!A21&amp;"-"&amp;VLOOKUP(Tasks!B21,ActTasks!G:J,3,FALSE))</f>
        <v>knob-20</v>
      </c>
      <c r="B21">
        <f>VLOOKUP(Tasks!B21,ActTasks!G:I,3,FALSE)</f>
        <v>20</v>
      </c>
      <c r="C21" t="str">
        <f>VLOOKUP(Tasks!B21,ActTasks!G:I,2,FALSE)</f>
        <v>crdra10</v>
      </c>
      <c r="D21" t="str">
        <f>Tasks!B21</f>
        <v>Create Draft Section 10</v>
      </c>
      <c r="E21" t="str">
        <f>Tasks!C21</f>
        <v>Complete</v>
      </c>
      <c r="F21" t="str">
        <f>Tasks!D21</f>
        <v>notifications</v>
      </c>
      <c r="G21" t="str">
        <f>"rg:dataset('status.csv','"&amp;Tasks!E21&amp;"')"</f>
        <v>rg:dataset('status.csv','regular')</v>
      </c>
      <c r="H21" t="str">
        <f t="shared" si="0"/>
        <v>rg:{}</v>
      </c>
    </row>
    <row r="22" spans="1:8" x14ac:dyDescent="0.35">
      <c r="A22" t="str">
        <f>IF(ISBLANK(Tasks!A22),"-",Tasks!A22&amp;"-"&amp;VLOOKUP(Tasks!B22,ActTasks!G:J,3,FALSE))</f>
        <v>knob-21</v>
      </c>
      <c r="B22">
        <f>VLOOKUP(Tasks!B22,ActTasks!G:I,3,FALSE)</f>
        <v>21</v>
      </c>
      <c r="C22" t="str">
        <f>VLOOKUP(Tasks!B22,ActTasks!G:I,2,FALSE)</f>
        <v>crdraem</v>
      </c>
      <c r="D22" t="str">
        <f>Tasks!B22</f>
        <v>Create Draft Section 11 Document and Upload to the System</v>
      </c>
      <c r="E22" t="str">
        <f>Tasks!C22</f>
        <v>Complete</v>
      </c>
      <c r="F22" t="str">
        <f>Tasks!D22</f>
        <v>notifications</v>
      </c>
      <c r="G22" t="str">
        <f>"rg:dataset('status.csv','"&amp;Tasks!E22&amp;"')"</f>
        <v>rg:dataset('status.csv','regular')</v>
      </c>
      <c r="H22" t="str">
        <f t="shared" si="0"/>
        <v>rg:{}</v>
      </c>
    </row>
    <row r="23" spans="1:8" x14ac:dyDescent="0.35">
      <c r="A23" t="str">
        <f>IF(ISBLANK(Tasks!A23),"-",Tasks!A23&amp;"-"&amp;VLOOKUP(Tasks!B23,ActTasks!G:J,3,FALSE))</f>
        <v>knob-22</v>
      </c>
      <c r="B23">
        <f>VLOOKUP(Tasks!B23,ActTasks!G:I,3,FALSE)</f>
        <v>22</v>
      </c>
      <c r="C23" t="str">
        <f>VLOOKUP(Tasks!B23,ActTasks!G:I,2,FALSE)</f>
        <v>ininint</v>
      </c>
      <c r="D23" t="str">
        <f>Tasks!B23</f>
        <v>Input Initial Value Component Content</v>
      </c>
      <c r="E23" t="str">
        <f>Tasks!C23</f>
        <v>Complete</v>
      </c>
      <c r="F23" t="str">
        <f>Tasks!D23</f>
        <v>notifications</v>
      </c>
      <c r="G23" t="str">
        <f>"rg:dataset('status.csv','"&amp;Tasks!E23&amp;"')"</f>
        <v>rg:dataset('status.csv','regular')</v>
      </c>
      <c r="H23" t="str">
        <f t="shared" si="0"/>
        <v>rg:{}</v>
      </c>
    </row>
    <row r="24" spans="1:8" x14ac:dyDescent="0.35">
      <c r="A24" t="str">
        <f>IF(ISBLANK(Tasks!A24),"-",Tasks!A24&amp;"-"&amp;VLOOKUP(Tasks!B24,ActTasks!G:J,3,FALSE))</f>
        <v>knob-23</v>
      </c>
      <c r="B24">
        <f>VLOOKUP(Tasks!B24,ActTasks!G:I,3,FALSE)</f>
        <v>23</v>
      </c>
      <c r="C24" t="str">
        <f>VLOOKUP(Tasks!B24,ActTasks!G:I,2,FALSE)</f>
        <v>inknoes</v>
      </c>
      <c r="D24" t="str">
        <f>Tasks!B24</f>
        <v>Input known Issues</v>
      </c>
      <c r="E24" t="str">
        <f>Tasks!C24</f>
        <v>Complete</v>
      </c>
      <c r="F24" t="str">
        <f>Tasks!D24</f>
        <v>notifications</v>
      </c>
      <c r="G24" t="str">
        <f>"rg:dataset('status.csv','"&amp;Tasks!E24&amp;"')"</f>
        <v>rg:dataset('status.csv','regular')</v>
      </c>
      <c r="H24" t="str">
        <f t="shared" si="0"/>
        <v>rg:{}</v>
      </c>
    </row>
    <row r="25" spans="1:8" x14ac:dyDescent="0.35">
      <c r="A25" t="str">
        <f>IF(ISBLANK(Tasks!A25),"-",Tasks!A25&amp;"-"&amp;VLOOKUP(Tasks!B25,ActTasks!G:J,3,FALSE))</f>
        <v>knob-24</v>
      </c>
      <c r="B25">
        <f>VLOOKUP(Tasks!B25,ActTasks!G:I,3,FALSE)</f>
        <v>24</v>
      </c>
      <c r="C25" t="str">
        <f>VLOOKUP(Tasks!B25,ActTasks!G:I,2,FALSE)</f>
        <v>adfnist</v>
      </c>
      <c r="D25" t="str">
        <f>Tasks!B25</f>
        <v>Add FNI items to FNI List</v>
      </c>
      <c r="E25" t="str">
        <f>Tasks!C25</f>
        <v>Complete</v>
      </c>
      <c r="F25" t="str">
        <f>Tasks!D25</f>
        <v>notifications</v>
      </c>
      <c r="G25" t="str">
        <f>"rg:dataset('status.csv','"&amp;Tasks!E25&amp;"')"</f>
        <v>rg:dataset('status.csv','regular')</v>
      </c>
      <c r="H25" t="str">
        <f t="shared" si="0"/>
        <v>rg:{}</v>
      </c>
    </row>
    <row r="26" spans="1:8" x14ac:dyDescent="0.35">
      <c r="A26" t="str">
        <f>IF(ISBLANK(Tasks!A26),"-",Tasks!A26&amp;"-"&amp;VLOOKUP(Tasks!B26,ActTasks!G:J,3,FALSE))</f>
        <v>knob-25</v>
      </c>
      <c r="B26">
        <f>VLOOKUP(Tasks!B26,ActTasks!G:I,3,FALSE)</f>
        <v>25</v>
      </c>
      <c r="C26" t="str">
        <f>VLOOKUP(Tasks!B26,ActTasks!G:I,2,FALSE)</f>
        <v>reprdesc</v>
      </c>
      <c r="D26" t="str">
        <f>Tasks!B26</f>
        <v>Revise Project Description</v>
      </c>
      <c r="E26" t="str">
        <f>Tasks!C26</f>
        <v>Complete</v>
      </c>
      <c r="F26" t="str">
        <f>Tasks!D26</f>
        <v>notifications</v>
      </c>
      <c r="G26" t="str">
        <f>"rg:dataset('status.csv','"&amp;Tasks!E26&amp;"')"</f>
        <v>rg:dataset('status.csv','regular')</v>
      </c>
      <c r="H26" t="str">
        <f t="shared" si="0"/>
        <v>rg:{}</v>
      </c>
    </row>
    <row r="27" spans="1:8" x14ac:dyDescent="0.35">
      <c r="A27" t="str">
        <f>IF(ISBLANK(Tasks!A27),"-",Tasks!A27&amp;"-"&amp;VLOOKUP(Tasks!B27,ActTasks!G:J,3,FALSE))</f>
        <v>knob-26</v>
      </c>
      <c r="B27">
        <f>VLOOKUP(Tasks!B27,ActTasks!G:I,3,FALSE)</f>
        <v>26</v>
      </c>
      <c r="C27" t="str">
        <f>VLOOKUP(Tasks!B27,ActTasks!G:I,2,FALSE)</f>
        <v>apprdesc</v>
      </c>
      <c r="D27" t="str">
        <f>Tasks!B27</f>
        <v>Approve Project Description</v>
      </c>
      <c r="E27" t="str">
        <f>Tasks!C27</f>
        <v>Complete</v>
      </c>
      <c r="F27" t="str">
        <f>Tasks!D27</f>
        <v>notifications</v>
      </c>
      <c r="G27" t="str">
        <f>"rg:dataset('status.csv','"&amp;Tasks!E27&amp;"')"</f>
        <v>rg:dataset('status.csv','regular')</v>
      </c>
      <c r="H27" t="str">
        <f t="shared" si="0"/>
        <v>rg:{}</v>
      </c>
    </row>
    <row r="28" spans="1:8" x14ac:dyDescent="0.35">
      <c r="A28" t="str">
        <f>IF(ISBLANK(Tasks!A28),"-",Tasks!A28&amp;"-"&amp;VLOOKUP(Tasks!B28,ActTasks!G:J,3,FALSE))</f>
        <v>knob-27</v>
      </c>
      <c r="B28">
        <f>VLOOKUP(Tasks!B28,ActTasks!G:I,3,FALSE)</f>
        <v>27</v>
      </c>
      <c r="C28" t="str">
        <f>VLOOKUP(Tasks!B28,ActTasks!G:I,2,FALSE)</f>
        <v>puprdesc</v>
      </c>
      <c r="D28" t="str">
        <f>Tasks!B28</f>
        <v>Publish Project Description</v>
      </c>
      <c r="E28" t="str">
        <f>Tasks!C28</f>
        <v>Complete</v>
      </c>
      <c r="F28" t="str">
        <f>Tasks!D28</f>
        <v>notifications</v>
      </c>
      <c r="G28" t="str">
        <f>"rg:dataset('status.csv','"&amp;Tasks!E28&amp;"')"</f>
        <v>rg:dataset('status.csv','regular')</v>
      </c>
      <c r="H28" t="str">
        <f t="shared" si="0"/>
        <v>rg:{}</v>
      </c>
    </row>
    <row r="29" spans="1:8" x14ac:dyDescent="0.35">
      <c r="A29" t="str">
        <f>IF(ISBLANK(Tasks!A29),"-",Tasks!A29&amp;"-"&amp;VLOOKUP(Tasks!B29,ActTasks!G:J,3,FALSE))</f>
        <v>knob-28</v>
      </c>
      <c r="B29">
        <f>VLOOKUP(Tasks!B29,ActTasks!G:I,3,FALSE)</f>
        <v>28</v>
      </c>
      <c r="C29" t="str">
        <f>VLOOKUP(Tasks!B29,ActTasks!G:I,2,FALSE)</f>
        <v>fiprs101c</v>
      </c>
      <c r="D29" t="str">
        <f>Tasks!B29</f>
        <v>Finalize Section 10.1C</v>
      </c>
      <c r="E29" t="str">
        <f>Tasks!C29</f>
        <v>Complete</v>
      </c>
      <c r="F29" t="str">
        <f>Tasks!D29</f>
        <v>notifications</v>
      </c>
      <c r="G29" t="str">
        <f>"rg:dataset('status.csv','"&amp;Tasks!E29&amp;"')"</f>
        <v>rg:dataset('status.csv','regular')</v>
      </c>
      <c r="H29" t="str">
        <f t="shared" si="0"/>
        <v>rg:{}</v>
      </c>
    </row>
    <row r="30" spans="1:8" x14ac:dyDescent="0.35">
      <c r="A30" t="str">
        <f>IF(ISBLANK(Tasks!A30),"-",Tasks!A30&amp;"-"&amp;VLOOKUP(Tasks!B30,ActTasks!G:J,3,FALSE))</f>
        <v>knob-29</v>
      </c>
      <c r="B30">
        <f>VLOOKUP(Tasks!B30,ActTasks!G:I,3,FALSE)</f>
        <v>29</v>
      </c>
      <c r="C30" t="str">
        <f>VLOOKUP(Tasks!B30,ActTasks!G:I,2,FALSE)</f>
        <v>apprs101c</v>
      </c>
      <c r="D30" t="str">
        <f>Tasks!B30</f>
        <v>Approve Section 10.1C</v>
      </c>
      <c r="E30" t="str">
        <f>Tasks!C30</f>
        <v>Complete</v>
      </c>
      <c r="F30" t="str">
        <f>Tasks!D30</f>
        <v>notifications</v>
      </c>
      <c r="G30" t="str">
        <f>"rg:dataset('status.csv','"&amp;Tasks!E30&amp;"')"</f>
        <v>rg:dataset('status.csv','regular')</v>
      </c>
      <c r="H30" t="str">
        <f t="shared" si="0"/>
        <v>rg:{}</v>
      </c>
    </row>
    <row r="31" spans="1:8" x14ac:dyDescent="0.35">
      <c r="A31" t="str">
        <f>IF(ISBLANK(Tasks!A31),"-",Tasks!A31&amp;"-"&amp;VLOOKUP(Tasks!B31,ActTasks!G:J,3,FALSE))</f>
        <v>knob-30</v>
      </c>
      <c r="B31">
        <f>VLOOKUP(Tasks!B31,ActTasks!G:I,3,FALSE)</f>
        <v>30</v>
      </c>
      <c r="C31" t="str">
        <f>VLOOKUP(Tasks!B31,ActTasks!G:I,2,FALSE)</f>
        <v>noprs101c</v>
      </c>
      <c r="D31" t="str">
        <f>Tasks!B31</f>
        <v>Notify Section 10.1C</v>
      </c>
      <c r="E31" t="str">
        <f>Tasks!C31</f>
        <v>Complete</v>
      </c>
      <c r="F31" t="str">
        <f>Tasks!D31</f>
        <v>notifications</v>
      </c>
      <c r="G31" t="str">
        <f>"rg:dataset('status.csv','"&amp;Tasks!E31&amp;"')"</f>
        <v>rg:dataset('status.csv','regular')</v>
      </c>
      <c r="H31" t="str">
        <f t="shared" si="0"/>
        <v>rg:{}</v>
      </c>
    </row>
    <row r="32" spans="1:8" x14ac:dyDescent="0.35">
      <c r="A32" t="str">
        <f>IF(ISBLANK(Tasks!A32),"-",Tasks!A32&amp;"-"&amp;VLOOKUP(Tasks!B32,ActTasks!G:J,3,FALSE))</f>
        <v>knob-31</v>
      </c>
      <c r="B32">
        <f>VLOOKUP(Tasks!B32,ActTasks!G:I,3,FALSE)</f>
        <v>31</v>
      </c>
      <c r="C32" t="str">
        <f>VLOOKUP(Tasks!B32,ActTasks!G:I,2,FALSE)</f>
        <v>ifnotad</v>
      </c>
      <c r="D32" t="str">
        <f>Tasks!B32</f>
        <v>If not already complete, Create Draft S11 and Upload</v>
      </c>
      <c r="E32" t="str">
        <f>Tasks!C32</f>
        <v>Complete</v>
      </c>
      <c r="F32" t="str">
        <f>Tasks!D32</f>
        <v>notifications</v>
      </c>
      <c r="G32" t="str">
        <f>"rg:dataset('status.csv','"&amp;Tasks!E32&amp;"')"</f>
        <v>rg:dataset('status.csv','regular')</v>
      </c>
      <c r="H32" t="str">
        <f t="shared" si="0"/>
        <v>rg:{}</v>
      </c>
    </row>
    <row r="33" spans="1:8" x14ac:dyDescent="0.35">
      <c r="A33" t="str">
        <f>IF(ISBLANK(Tasks!A33),"-",Tasks!A33&amp;"-"&amp;VLOOKUP(Tasks!B33,ActTasks!G:J,3,FALSE))</f>
        <v>knob-32</v>
      </c>
      <c r="B33">
        <f>VLOOKUP(Tasks!B33,ActTasks!G:I,3,FALSE)</f>
        <v>32</v>
      </c>
      <c r="C33" t="str">
        <f>VLOOKUP(Tasks!B33,ActTasks!G:I,2,FALSE)</f>
        <v>sufornt</v>
      </c>
      <c r="D33" t="str">
        <f>Tasks!B33</f>
        <v>Submit for First Nations' Comment</v>
      </c>
      <c r="E33" t="str">
        <f>Tasks!C33</f>
        <v>Complete</v>
      </c>
      <c r="F33" t="str">
        <f>Tasks!D33</f>
        <v>notifications</v>
      </c>
      <c r="G33" t="str">
        <f>"rg:dataset('status.csv','"&amp;Tasks!E33&amp;"')"</f>
        <v>rg:dataset('status.csv','regular')</v>
      </c>
      <c r="H33" t="str">
        <f t="shared" si="0"/>
        <v>rg:{}</v>
      </c>
    </row>
    <row r="34" spans="1:8" x14ac:dyDescent="0.35">
      <c r="A34" t="str">
        <f>IF(ISBLANK(Tasks!A34),"-",Tasks!A34&amp;"-"&amp;VLOOKUP(Tasks!B34,ActTasks!G:J,3,FALSE))</f>
        <v>knob-33</v>
      </c>
      <c r="B34">
        <f>VLOOKUP(Tasks!B34,ActTasks!G:I,3,FALSE)</f>
        <v>33</v>
      </c>
      <c r="C34" t="str">
        <f>VLOOKUP(Tasks!B34,ActTasks!G:I,2,FALSE)</f>
        <v>s11rev</v>
      </c>
      <c r="D34" t="str">
        <f>Tasks!B34</f>
        <v>Section 11 Review</v>
      </c>
      <c r="E34" t="str">
        <f>Tasks!C34</f>
        <v>Complete</v>
      </c>
      <c r="F34" t="str">
        <f>Tasks!D34</f>
        <v>notifications</v>
      </c>
      <c r="G34" t="str">
        <f>"rg:dataset('status.csv','"&amp;Tasks!E34&amp;"')"</f>
        <v>rg:dataset('status.csv','regular')</v>
      </c>
      <c r="H34" t="str">
        <f t="shared" si="0"/>
        <v>rg:{}</v>
      </c>
    </row>
    <row r="35" spans="1:8" x14ac:dyDescent="0.35">
      <c r="A35" t="str">
        <f>IF(ISBLANK(Tasks!A35),"-",Tasks!A35&amp;"-"&amp;VLOOKUP(Tasks!B35,ActTasks!G:J,3,FALSE))</f>
        <v>knob-34</v>
      </c>
      <c r="B35">
        <f>VLOOKUP(Tasks!B35,ActTasks!G:I,3,FALSE)</f>
        <v>34</v>
      </c>
      <c r="C35" t="str">
        <f>VLOOKUP(Tasks!B35,ActTasks!G:I,2,FALSE)</f>
        <v>fiandnt</v>
      </c>
      <c r="D35" t="str">
        <f>Tasks!B35</f>
        <v>Finalize and Approve Document</v>
      </c>
      <c r="E35" t="str">
        <f>Tasks!C35</f>
        <v>Complete</v>
      </c>
      <c r="F35" t="str">
        <f>Tasks!D35</f>
        <v>notifications</v>
      </c>
      <c r="G35" t="str">
        <f>"rg:dataset('status.csv','"&amp;Tasks!E35&amp;"')"</f>
        <v>rg:dataset('status.csv','regular')</v>
      </c>
      <c r="H35" t="str">
        <f t="shared" si="0"/>
        <v>rg:{}</v>
      </c>
    </row>
    <row r="36" spans="1:8" x14ac:dyDescent="0.35">
      <c r="A36" t="str">
        <f>IF(ISBLANK(Tasks!A36),"-",Tasks!A36&amp;"-"&amp;VLOOKUP(Tasks!B36,ActTasks!G:J,3,FALSE))</f>
        <v>knob-35</v>
      </c>
      <c r="B36">
        <f>VLOOKUP(Tasks!B36,ActTasks!G:I,3,FALSE)</f>
        <v>35</v>
      </c>
      <c r="C36" t="str">
        <f>VLOOKUP(Tasks!B36,ActTasks!G:I,2,FALSE)</f>
        <v>crvalte</v>
      </c>
      <c r="D36" t="str">
        <f>Tasks!B36</f>
        <v>Create Value Components as appropriate</v>
      </c>
      <c r="E36" t="str">
        <f>Tasks!C36</f>
        <v>Complete</v>
      </c>
      <c r="F36" t="str">
        <f>Tasks!D36</f>
        <v>notifications</v>
      </c>
      <c r="G36" t="str">
        <f>"rg:dataset('status.csv','"&amp;Tasks!E36&amp;"')"</f>
        <v>rg:dataset('status.csv','regular')</v>
      </c>
      <c r="H36" t="str">
        <f t="shared" si="0"/>
        <v>rg:{}</v>
      </c>
    </row>
    <row r="37" spans="1:8" x14ac:dyDescent="0.35">
      <c r="A37" t="str">
        <f>IF(ISBLANK(Tasks!A37),"-",Tasks!A37&amp;"-"&amp;VLOOKUP(Tasks!B37,ActTasks!G:J,3,FALSE))</f>
        <v>knob-36</v>
      </c>
      <c r="B37">
        <f>VLOOKUP(Tasks!B37,ActTasks!G:I,3,FALSE)</f>
        <v>36</v>
      </c>
      <c r="C37" t="str">
        <f>VLOOKUP(Tasks!B37,ActTasks!G:I,2,FALSE)</f>
        <v>nopront</v>
      </c>
      <c r="D37" t="str">
        <f>Tasks!B37</f>
        <v>Notify Proponent</v>
      </c>
      <c r="E37" t="str">
        <f>Tasks!C37</f>
        <v>Complete</v>
      </c>
      <c r="F37" t="str">
        <f>Tasks!D37</f>
        <v>notifications</v>
      </c>
      <c r="G37" t="str">
        <f>"rg:dataset('status.csv','"&amp;Tasks!E37&amp;"')"</f>
        <v>rg:dataset('status.csv','regular')</v>
      </c>
      <c r="H37" t="str">
        <f t="shared" si="0"/>
        <v>rg:{}</v>
      </c>
    </row>
    <row r="38" spans="1:8" x14ac:dyDescent="0.35">
      <c r="A38" t="str">
        <f>IF(ISBLANK(Tasks!A38),"-",Tasks!A38&amp;"-"&amp;VLOOKUP(Tasks!B38,ActTasks!G:J,3,FALSE))</f>
        <v>knob-37</v>
      </c>
      <c r="B38">
        <f>VLOOKUP(Tasks!B38,ActTasks!G:I,3,FALSE)</f>
        <v>37</v>
      </c>
      <c r="C38" t="str">
        <f>VLOOKUP(Tasks!B38,ActTasks!G:I,2,FALSE)</f>
        <v>setors</v>
      </c>
      <c r="D38" t="str">
        <f>Tasks!B38</f>
        <v>Send to Proponent and identified Stakeholders</v>
      </c>
      <c r="E38" t="str">
        <f>Tasks!C38</f>
        <v>Complete</v>
      </c>
      <c r="F38" t="str">
        <f>Tasks!D38</f>
        <v>notifications</v>
      </c>
      <c r="G38" t="str">
        <f>"rg:dataset('status.csv','"&amp;Tasks!E38&amp;"')"</f>
        <v>rg:dataset('status.csv','regular')</v>
      </c>
      <c r="H38" t="str">
        <f t="shared" si="0"/>
        <v>rg:{}</v>
      </c>
    </row>
    <row r="39" spans="1:8" x14ac:dyDescent="0.35">
      <c r="A39" t="str">
        <f>IF(ISBLANK(Tasks!A39),"-",Tasks!A39&amp;"-"&amp;VLOOKUP(Tasks!B39,ActTasks!G:J,3,FALSE))</f>
        <v>knob-38</v>
      </c>
      <c r="B39">
        <f>VLOOKUP(Tasks!B39,ActTasks!G:I,3,FALSE)</f>
        <v>38</v>
      </c>
      <c r="C39" t="str">
        <f>VLOOKUP(Tasks!B39,ActTasks!G:I,2,FALSE)</f>
        <v>adval11</v>
      </c>
      <c r="D39" t="str">
        <f>Tasks!B39</f>
        <v>Add Value Components based on information provided through S11</v>
      </c>
      <c r="E39" t="str">
        <f>Tasks!C39</f>
        <v>Complete</v>
      </c>
      <c r="F39" t="str">
        <f>Tasks!D39</f>
        <v>notifications</v>
      </c>
      <c r="G39" t="str">
        <f>"rg:dataset('status.csv','"&amp;Tasks!E39&amp;"')"</f>
        <v>rg:dataset('status.csv','regular')</v>
      </c>
      <c r="H39" t="str">
        <f t="shared" si="0"/>
        <v>rg:{}</v>
      </c>
    </row>
    <row r="40" spans="1:8" x14ac:dyDescent="0.35">
      <c r="A40" t="str">
        <f>IF(ISBLANK(Tasks!A40),"-",Tasks!A40&amp;"-"&amp;VLOOKUP(Tasks!B40,ActTasks!G:J,3,FALSE))</f>
        <v>knob-39</v>
      </c>
      <c r="B40">
        <f>VLOOKUP(Tasks!B40,ActTasks!G:I,3,FALSE)</f>
        <v>39</v>
      </c>
      <c r="C40" t="str">
        <f>VLOOKUP(Tasks!B40,ActTasks!G:I,2,FALSE)</f>
        <v>enmannt</v>
      </c>
      <c r="D40" t="str">
        <f>Tasks!B40</f>
        <v>Enter Mandatory Minimum information within each Value Component</v>
      </c>
      <c r="E40" t="str">
        <f>Tasks!C40</f>
        <v>Complete</v>
      </c>
      <c r="F40" t="str">
        <f>Tasks!D40</f>
        <v>notifications</v>
      </c>
      <c r="G40" t="str">
        <f>"rg:dataset('status.csv','"&amp;Tasks!E40&amp;"')"</f>
        <v>rg:dataset('status.csv','regular')</v>
      </c>
      <c r="H40" t="str">
        <f t="shared" si="0"/>
        <v>rg:{}</v>
      </c>
    </row>
    <row r="41" spans="1:8" x14ac:dyDescent="0.35">
      <c r="A41" t="str">
        <f>IF(ISBLANK(Tasks!A41),"-",Tasks!A41&amp;"-"&amp;VLOOKUP(Tasks!B41,ActTasks!G:J,3,FALSE))</f>
        <v>knob-40</v>
      </c>
      <c r="B41">
        <f>VLOOKUP(Tasks!B41,ActTasks!G:I,3,FALSE)</f>
        <v>40</v>
      </c>
      <c r="C41" t="str">
        <f>VLOOKUP(Tasks!B41,ActTasks!G:I,2,FALSE)</f>
        <v>alstars</v>
      </c>
      <c r="D41" t="str">
        <f>Tasks!B41</f>
        <v>Alert stakeholders</v>
      </c>
      <c r="E41" t="str">
        <f>Tasks!C41</f>
        <v>Complete</v>
      </c>
      <c r="F41" t="str">
        <f>Tasks!D41</f>
        <v>notifications</v>
      </c>
      <c r="G41" t="str">
        <f>"rg:dataset('status.csv','"&amp;Tasks!E41&amp;"')"</f>
        <v>rg:dataset('status.csv','regular')</v>
      </c>
      <c r="H41" t="str">
        <f t="shared" si="0"/>
        <v>rg:{}</v>
      </c>
    </row>
    <row r="42" spans="1:8" x14ac:dyDescent="0.35">
      <c r="A42" t="str">
        <f>IF(ISBLANK(Tasks!A42),"-",Tasks!A42&amp;"-"&amp;VLOOKUP(Tasks!B42,ActTasks!G:J,3,FALSE))</f>
        <v>knob-41</v>
      </c>
      <c r="B42">
        <f>VLOOKUP(Tasks!B42,ActTasks!G:I,3,FALSE)</f>
        <v>41</v>
      </c>
      <c r="C42" t="str">
        <f>VLOOKUP(Tasks!B42,ActTasks!G:I,2,FALSE)</f>
        <v>revalts</v>
      </c>
      <c r="D42" t="str">
        <f>Tasks!B42</f>
        <v>Review Value Components</v>
      </c>
      <c r="E42" t="str">
        <f>Tasks!C42</f>
        <v>Complete</v>
      </c>
      <c r="F42" t="str">
        <f>Tasks!D42</f>
        <v>notifications</v>
      </c>
      <c r="G42" t="str">
        <f>"rg:dataset('status.csv','"&amp;Tasks!E42&amp;"')"</f>
        <v>rg:dataset('status.csv','regular')</v>
      </c>
      <c r="H42" t="str">
        <f t="shared" si="0"/>
        <v>rg:{}</v>
      </c>
    </row>
    <row r="43" spans="1:8" x14ac:dyDescent="0.35">
      <c r="A43" t="str">
        <f>IF(ISBLANK(Tasks!A43),"-",Tasks!A43&amp;"-"&amp;VLOOKUP(Tasks!B43,ActTasks!G:J,3,FALSE))</f>
        <v>knob-42</v>
      </c>
      <c r="B43">
        <f>VLOOKUP(Tasks!B43,ActTasks!G:I,3,FALSE)</f>
        <v>42</v>
      </c>
      <c r="C43" t="str">
        <f>VLOOKUP(Tasks!B43,ActTasks!G:I,2,FALSE)</f>
        <v>asvalrs</v>
      </c>
      <c r="D43" t="str">
        <f>Tasks!B43</f>
        <v>Assign Value Components to Working Group Members</v>
      </c>
      <c r="E43" t="str">
        <f>Tasks!C43</f>
        <v>Complete</v>
      </c>
      <c r="F43" t="str">
        <f>Tasks!D43</f>
        <v>notifications</v>
      </c>
      <c r="G43" t="str">
        <f>"rg:dataset('status.csv','"&amp;Tasks!E43&amp;"')"</f>
        <v>rg:dataset('status.csv','regular')</v>
      </c>
      <c r="H43" t="str">
        <f t="shared" si="0"/>
        <v>rg:{}</v>
      </c>
    </row>
    <row r="44" spans="1:8" x14ac:dyDescent="0.35">
      <c r="A44" t="str">
        <f>IF(ISBLANK(Tasks!A44),"-",Tasks!A44&amp;"-"&amp;VLOOKUP(Tasks!B44,ActTasks!G:J,3,FALSE))</f>
        <v>knob-43</v>
      </c>
      <c r="B44">
        <f>VLOOKUP(Tasks!B44,ActTasks!G:I,3,FALSE)</f>
        <v>43</v>
      </c>
      <c r="C44" t="str">
        <f>VLOOKUP(Tasks!B44,ActTasks!G:I,2,FALSE)</f>
        <v>apvalep</v>
      </c>
      <c r="D44" t="str">
        <f>Tasks!B44</f>
        <v>Approve Value Component Content - in order to progress to next step</v>
      </c>
      <c r="E44" t="str">
        <f>Tasks!C44</f>
        <v>Complete</v>
      </c>
      <c r="F44" t="str">
        <f>Tasks!D44</f>
        <v>notifications</v>
      </c>
      <c r="G44" t="str">
        <f>"rg:dataset('status.csv','"&amp;Tasks!E44&amp;"')"</f>
        <v>rg:dataset('status.csv','regular')</v>
      </c>
      <c r="H44" t="str">
        <f t="shared" si="0"/>
        <v>rg:{}</v>
      </c>
    </row>
    <row r="45" spans="1:8" x14ac:dyDescent="0.35">
      <c r="A45" t="str">
        <f>IF(ISBLANK(Tasks!A45),"-",Tasks!A45&amp;"-"&amp;VLOOKUP(Tasks!B45,ActTasks!G:J,3,FALSE))</f>
        <v>knob-44</v>
      </c>
      <c r="B45">
        <f>VLOOKUP(Tasks!B45,ActTasks!G:I,3,FALSE)</f>
        <v>44</v>
      </c>
      <c r="C45" t="str">
        <f>VLOOKUP(Tasks!B45,ActTasks!G:I,2,FALSE)</f>
        <v>crvalnt</v>
      </c>
      <c r="D45" t="str">
        <f>Tasks!B45</f>
        <v>Create Value Component Document</v>
      </c>
      <c r="E45" t="str">
        <f>Tasks!C45</f>
        <v>Complete</v>
      </c>
      <c r="F45" t="str">
        <f>Tasks!D45</f>
        <v>notifications</v>
      </c>
      <c r="G45" t="str">
        <f>"rg:dataset('status.csv','"&amp;Tasks!E45&amp;"')"</f>
        <v>rg:dataset('status.csv','regular')</v>
      </c>
      <c r="H45" t="str">
        <f t="shared" si="0"/>
        <v>rg:{}</v>
      </c>
    </row>
    <row r="46" spans="1:8" x14ac:dyDescent="0.35">
      <c r="A46" t="str">
        <f>IF(ISBLANK(Tasks!A46),"-",Tasks!A46&amp;"-"&amp;VLOOKUP(Tasks!B46,ActTasks!G:J,3,FALSE))</f>
        <v>knob-45</v>
      </c>
      <c r="B46">
        <f>VLOOKUP(Tasks!B46,ActTasks!G:I,3,FALSE)</f>
        <v>45</v>
      </c>
      <c r="C46" t="str">
        <f>VLOOKUP(Tasks!B46,ActTasks!G:I,2,FALSE)</f>
        <v>sereqts</v>
      </c>
      <c r="D46" t="str">
        <f>Tasks!B46</f>
        <v>Send request to desired Working Group Participants</v>
      </c>
      <c r="E46" t="str">
        <f>Tasks!C46</f>
        <v>Complete</v>
      </c>
      <c r="F46" t="str">
        <f>Tasks!D46</f>
        <v>notifications</v>
      </c>
      <c r="G46" t="str">
        <f>"rg:dataset('status.csv','"&amp;Tasks!E46&amp;"')"</f>
        <v>rg:dataset('status.csv','regular')</v>
      </c>
      <c r="H46" t="str">
        <f t="shared" si="0"/>
        <v>rg:{}</v>
      </c>
    </row>
    <row r="47" spans="1:8" x14ac:dyDescent="0.35">
      <c r="A47" t="str">
        <f>IF(ISBLANK(Tasks!A47),"-",Tasks!A47&amp;"-"&amp;VLOOKUP(Tasks!B47,ActTasks!G:J,3,FALSE))</f>
        <v>knob-46</v>
      </c>
      <c r="B47">
        <f>VLOOKUP(Tasks!B47,ActTasks!G:I,3,FALSE)</f>
        <v>46</v>
      </c>
      <c r="C47" t="str">
        <f>VLOOKUP(Tasks!B47,ActTasks!G:I,2,FALSE)</f>
        <v>coparon</v>
      </c>
      <c r="D47" t="str">
        <f>Tasks!B47</f>
        <v>Confirm Participation</v>
      </c>
      <c r="E47" t="str">
        <f>Tasks!C47</f>
        <v>Complete</v>
      </c>
      <c r="F47" t="str">
        <f>Tasks!D47</f>
        <v>notifications</v>
      </c>
      <c r="G47" t="str">
        <f>"rg:dataset('status.csv','"&amp;Tasks!E47&amp;"')"</f>
        <v>rg:dataset('status.csv','regular')</v>
      </c>
      <c r="H47" t="str">
        <f t="shared" si="0"/>
        <v>rg:{}</v>
      </c>
    </row>
    <row r="48" spans="1:8" x14ac:dyDescent="0.35">
      <c r="A48" t="str">
        <f>IF(ISBLANK(Tasks!A48),"-",Tasks!A48&amp;"-"&amp;VLOOKUP(Tasks!B48,ActTasks!G:J,3,FALSE))</f>
        <v>knob-47</v>
      </c>
      <c r="B48">
        <f>VLOOKUP(Tasks!B48,ActTasks!G:I,3,FALSE)</f>
        <v>47</v>
      </c>
      <c r="C48" t="str">
        <f>VLOOKUP(Tasks!B48,ActTasks!G:I,2,FALSE)</f>
        <v>upstaes</v>
      </c>
      <c r="D48" t="str">
        <f>Tasks!B48</f>
        <v>Update Stakeholder List with confirmed names</v>
      </c>
      <c r="E48" t="str">
        <f>Tasks!C48</f>
        <v>Complete</v>
      </c>
      <c r="F48" t="str">
        <f>Tasks!D48</f>
        <v>notifications</v>
      </c>
      <c r="G48" t="str">
        <f>"rg:dataset('status.csv','"&amp;Tasks!E48&amp;"')"</f>
        <v>rg:dataset('status.csv','regular')</v>
      </c>
      <c r="H48" t="str">
        <f t="shared" si="0"/>
        <v>rg:{}</v>
      </c>
    </row>
    <row r="49" spans="1:8" x14ac:dyDescent="0.35">
      <c r="A49" t="str">
        <f>IF(ISBLANK(Tasks!A49),"-",Tasks!A49&amp;"-"&amp;VLOOKUP(Tasks!B49,ActTasks!G:J,3,FALSE))</f>
        <v>knob-48</v>
      </c>
      <c r="B49">
        <f>VLOOKUP(Tasks!B49,ActTasks!G:I,3,FALSE)</f>
        <v>48</v>
      </c>
      <c r="C49" t="str">
        <f>VLOOKUP(Tasks!B49,ActTasks!G:I,2,FALSE)</f>
        <v>enworts</v>
      </c>
      <c r="D49" t="str">
        <f>Tasks!B49</f>
        <v>Ensure Working Group members are assigned to relevant Value Components</v>
      </c>
      <c r="E49" t="str">
        <f>Tasks!C49</f>
        <v>Complete</v>
      </c>
      <c r="F49" t="str">
        <f>Tasks!D49</f>
        <v>notifications</v>
      </c>
      <c r="G49" t="str">
        <f>"rg:dataset('status.csv','"&amp;Tasks!E49&amp;"')"</f>
        <v>rg:dataset('status.csv','regular')</v>
      </c>
      <c r="H49" t="str">
        <f t="shared" si="0"/>
        <v>rg:{}</v>
      </c>
    </row>
    <row r="50" spans="1:8" x14ac:dyDescent="0.35">
      <c r="A50" t="str">
        <f>IF(ISBLANK(Tasks!A50),"-",Tasks!A50&amp;"-"&amp;VLOOKUP(Tasks!B50,ActTasks!G:J,3,FALSE))</f>
        <v>knob-49</v>
      </c>
      <c r="B50">
        <f>VLOOKUP(Tasks!B50,ActTasks!G:I,3,FALSE)</f>
        <v>49</v>
      </c>
      <c r="C50" t="str">
        <f>VLOOKUP(Tasks!B50,ActTasks!G:I,2,FALSE)</f>
        <v>drairss</v>
      </c>
      <c r="D50" t="str">
        <f>Tasks!B50</f>
        <v>Approve Draft AIR</v>
      </c>
      <c r="E50" t="str">
        <f>Tasks!C50</f>
        <v>Complete</v>
      </c>
      <c r="F50" t="str">
        <f>Tasks!D50</f>
        <v>notifications</v>
      </c>
      <c r="G50" t="str">
        <f>"rg:dataset('status.csv','"&amp;Tasks!E50&amp;"')"</f>
        <v>rg:dataset('status.csv','regular')</v>
      </c>
      <c r="H50" t="str">
        <f t="shared" si="0"/>
        <v>rg:{}</v>
      </c>
    </row>
    <row r="51" spans="1:8" x14ac:dyDescent="0.35">
      <c r="A51" t="str">
        <f>IF(ISBLANK(Tasks!A51),"-",Tasks!A51&amp;"-"&amp;VLOOKUP(Tasks!B51,ActTasks!G:J,3,FALSE))</f>
        <v>knob-50</v>
      </c>
      <c r="B51">
        <f>VLOOKUP(Tasks!B51,ActTasks!G:I,3,FALSE)</f>
        <v>50</v>
      </c>
      <c r="C51" t="str">
        <f>VLOOKUP(Tasks!B51,ActTasks!G:I,2,FALSE)</f>
        <v>inpubedair</v>
      </c>
      <c r="D51" t="str">
        <f>Tasks!B51</f>
        <v>Initiate Draft AIR Public Comment Period if Required</v>
      </c>
      <c r="E51" t="str">
        <f>Tasks!C51</f>
        <v>Complete</v>
      </c>
      <c r="F51" t="str">
        <f>Tasks!D51</f>
        <v>notifications</v>
      </c>
      <c r="G51" t="str">
        <f>"rg:dataset('status.csv','"&amp;Tasks!E51&amp;"')"</f>
        <v>rg:dataset('status.csv','regular')</v>
      </c>
      <c r="H51" t="str">
        <f t="shared" si="0"/>
        <v>rg:{}</v>
      </c>
    </row>
    <row r="52" spans="1:8" x14ac:dyDescent="0.35">
      <c r="A52" t="str">
        <f>IF(ISBLANK(Tasks!A52),"-",Tasks!A52&amp;"-"&amp;VLOOKUP(Tasks!B52,ActTasks!G:J,3,FALSE))</f>
        <v>knob-51</v>
      </c>
      <c r="B52">
        <f>VLOOKUP(Tasks!B52,ActTasks!G:I,3,FALSE)</f>
        <v>51</v>
      </c>
      <c r="C52" t="str">
        <f>VLOOKUP(Tasks!B52,ActTasks!G:I,2,FALSE)</f>
        <v>movaledair</v>
      </c>
      <c r="D52" t="str">
        <f>Tasks!B52</f>
        <v>Modify Value Components, Issues, etc. as Required for Draft AIR</v>
      </c>
      <c r="E52" t="str">
        <f>Tasks!C52</f>
        <v>Complete</v>
      </c>
      <c r="F52" t="str">
        <f>Tasks!D52</f>
        <v>notifications</v>
      </c>
      <c r="G52" t="str">
        <f>"rg:dataset('status.csv','"&amp;Tasks!E52&amp;"')"</f>
        <v>rg:dataset('status.csv','regular')</v>
      </c>
      <c r="H52" t="str">
        <f t="shared" si="0"/>
        <v>rg:{}</v>
      </c>
    </row>
    <row r="53" spans="1:8" x14ac:dyDescent="0.35">
      <c r="A53" t="str">
        <f>IF(ISBLANK(Tasks!A53),"-",Tasks!A53&amp;"-"&amp;VLOOKUP(Tasks!B53,ActTasks!G:J,3,FALSE))</f>
        <v>knob-52</v>
      </c>
      <c r="B53">
        <f>VLOOKUP(Tasks!B53,ActTasks!G:I,3,FALSE)</f>
        <v>52</v>
      </c>
      <c r="C53" t="str">
        <f>VLOOKUP(Tasks!B53,ActTasks!G:I,2,FALSE)</f>
        <v>crdraedair</v>
      </c>
      <c r="D53" t="str">
        <f>Tasks!B53</f>
        <v>Create Draft Conditions as Required based on Draft AIR</v>
      </c>
      <c r="E53" t="str">
        <f>Tasks!C53</f>
        <v>Complete</v>
      </c>
      <c r="F53" t="str">
        <f>Tasks!D53</f>
        <v>notifications</v>
      </c>
      <c r="G53" t="str">
        <f>"rg:dataset('status.csv','"&amp;Tasks!E53&amp;"')"</f>
        <v>rg:dataset('status.csv','regular')</v>
      </c>
      <c r="H53" t="str">
        <f t="shared" si="0"/>
        <v>rg:{}</v>
      </c>
    </row>
    <row r="54" spans="1:8" x14ac:dyDescent="0.35">
      <c r="A54" t="str">
        <f>IF(ISBLANK(Tasks!A54),"-",Tasks!A54&amp;"-"&amp;VLOOKUP(Tasks!B54,ActTasks!G:J,3,FALSE))</f>
        <v>knob-53</v>
      </c>
      <c r="B54">
        <f>VLOOKUP(Tasks!B54,ActTasks!G:I,3,FALSE)</f>
        <v>53</v>
      </c>
      <c r="C54" t="str">
        <f>VLOOKUP(Tasks!B54,ActTasks!G:I,2,FALSE)</f>
        <v>fiandrsair</v>
      </c>
      <c r="D54" t="str">
        <f>Tasks!B54</f>
        <v>Finalize and Publish Draft AIR to identified stakeholders</v>
      </c>
      <c r="E54" t="str">
        <f>Tasks!C54</f>
        <v>Complete</v>
      </c>
      <c r="F54" t="str">
        <f>Tasks!D54</f>
        <v>notifications</v>
      </c>
      <c r="G54" t="str">
        <f>"rg:dataset('status.csv','"&amp;Tasks!E54&amp;"')"</f>
        <v>rg:dataset('status.csv','regular')</v>
      </c>
      <c r="H54" t="str">
        <f t="shared" si="0"/>
        <v>rg:{}</v>
      </c>
    </row>
    <row r="55" spans="1:8" x14ac:dyDescent="0.35">
      <c r="A55" t="str">
        <f>IF(ISBLANK(Tasks!A55),"-",Tasks!A55&amp;"-"&amp;VLOOKUP(Tasks!B55,ActTasks!G:J,3,FALSE))</f>
        <v>knob-54</v>
      </c>
      <c r="B55">
        <f>VLOOKUP(Tasks!B55,ActTasks!G:I,3,FALSE)</f>
        <v>54</v>
      </c>
      <c r="C55" t="str">
        <f>VLOOKUP(Tasks!B55,ActTasks!G:I,2,FALSE)</f>
        <v>crairss</v>
      </c>
      <c r="D55" t="str">
        <f>Tasks!B55</f>
        <v>Approve AIR</v>
      </c>
      <c r="E55" t="str">
        <f>Tasks!C55</f>
        <v>Complete</v>
      </c>
      <c r="F55" t="str">
        <f>Tasks!D55</f>
        <v>notifications</v>
      </c>
      <c r="G55" t="str">
        <f>"rg:dataset('status.csv','"&amp;Tasks!E55&amp;"')"</f>
        <v>rg:dataset('status.csv','regular')</v>
      </c>
      <c r="H55" t="str">
        <f t="shared" si="0"/>
        <v>rg:{}</v>
      </c>
    </row>
    <row r="56" spans="1:8" x14ac:dyDescent="0.35">
      <c r="A56" t="str">
        <f>IF(ISBLANK(Tasks!A56),"-",Tasks!A56&amp;"-"&amp;VLOOKUP(Tasks!B56,ActTasks!G:J,3,FALSE))</f>
        <v>knob-55</v>
      </c>
      <c r="B56">
        <f>VLOOKUP(Tasks!B56,ActTasks!G:I,3,FALSE)</f>
        <v>55</v>
      </c>
      <c r="C56" t="str">
        <f>VLOOKUP(Tasks!B56,ActTasks!G:I,2,FALSE)</f>
        <v>inpubed</v>
      </c>
      <c r="D56" t="str">
        <f>Tasks!B56</f>
        <v>Initiate AIR Public Comment Period if Required</v>
      </c>
      <c r="E56" t="str">
        <f>Tasks!C56</f>
        <v>Complete</v>
      </c>
      <c r="F56" t="str">
        <f>Tasks!D56</f>
        <v>notifications</v>
      </c>
      <c r="G56" t="str">
        <f>"rg:dataset('status.csv','"&amp;Tasks!E56&amp;"')"</f>
        <v>rg:dataset('status.csv','regular')</v>
      </c>
      <c r="H56" t="str">
        <f t="shared" si="0"/>
        <v>rg:{}</v>
      </c>
    </row>
    <row r="57" spans="1:8" x14ac:dyDescent="0.35">
      <c r="A57" t="str">
        <f>IF(ISBLANK(Tasks!A57),"-",Tasks!A57&amp;"-"&amp;VLOOKUP(Tasks!B57,ActTasks!G:J,3,FALSE))</f>
        <v>knob-56</v>
      </c>
      <c r="B57">
        <f>VLOOKUP(Tasks!B57,ActTasks!G:I,3,FALSE)</f>
        <v>56</v>
      </c>
      <c r="C57" t="str">
        <f>VLOOKUP(Tasks!B57,ActTasks!G:I,2,FALSE)</f>
        <v>movaled</v>
      </c>
      <c r="D57" t="str">
        <f>Tasks!B57</f>
        <v>Modify Value Components, Issues, etc. as Required for AIR</v>
      </c>
      <c r="E57" t="str">
        <f>Tasks!C57</f>
        <v>Complete</v>
      </c>
      <c r="F57" t="str">
        <f>Tasks!D57</f>
        <v>notifications</v>
      </c>
      <c r="G57" t="str">
        <f>"rg:dataset('status.csv','"&amp;Tasks!E57&amp;"')"</f>
        <v>rg:dataset('status.csv','regular')</v>
      </c>
      <c r="H57" t="str">
        <f t="shared" si="0"/>
        <v>rg:{}</v>
      </c>
    </row>
    <row r="58" spans="1:8" x14ac:dyDescent="0.35">
      <c r="A58" t="str">
        <f>IF(ISBLANK(Tasks!A58),"-",Tasks!A58&amp;"-"&amp;VLOOKUP(Tasks!B58,ActTasks!G:J,3,FALSE))</f>
        <v>knob-57</v>
      </c>
      <c r="B58">
        <f>VLOOKUP(Tasks!B58,ActTasks!G:I,3,FALSE)</f>
        <v>57</v>
      </c>
      <c r="C58" t="str">
        <f>VLOOKUP(Tasks!B58,ActTasks!G:I,2,FALSE)</f>
        <v>crdraed</v>
      </c>
      <c r="D58" t="str">
        <f>Tasks!B58</f>
        <v>Create Draft Conditions as Required based on AIR</v>
      </c>
      <c r="E58" t="str">
        <f>Tasks!C58</f>
        <v>Complete</v>
      </c>
      <c r="F58" t="str">
        <f>Tasks!D58</f>
        <v>notifications</v>
      </c>
      <c r="G58" t="str">
        <f>"rg:dataset('status.csv','"&amp;Tasks!E58&amp;"')"</f>
        <v>rg:dataset('status.csv','regular')</v>
      </c>
      <c r="H58" t="str">
        <f t="shared" si="0"/>
        <v>rg:{}</v>
      </c>
    </row>
    <row r="59" spans="1:8" x14ac:dyDescent="0.35">
      <c r="A59" t="str">
        <f>IF(ISBLANK(Tasks!A59),"-",Tasks!A59&amp;"-"&amp;VLOOKUP(Tasks!B59,ActTasks!G:J,3,FALSE))</f>
        <v>knob-58</v>
      </c>
      <c r="B59">
        <f>VLOOKUP(Tasks!B59,ActTasks!G:I,3,FALSE)</f>
        <v>58</v>
      </c>
      <c r="C59" t="str">
        <f>VLOOKUP(Tasks!B59,ActTasks!G:I,2,FALSE)</f>
        <v>fiandrs</v>
      </c>
      <c r="D59" t="str">
        <f>Tasks!B59</f>
        <v>Finalize and Publish AIR to identified stakeholders</v>
      </c>
      <c r="E59" t="str">
        <f>Tasks!C59</f>
        <v>Complete</v>
      </c>
      <c r="F59" t="str">
        <f>Tasks!D59</f>
        <v>notifications</v>
      </c>
      <c r="G59" t="str">
        <f>"rg:dataset('status.csv','"&amp;Tasks!E59&amp;"')"</f>
        <v>rg:dataset('status.csv','regular')</v>
      </c>
      <c r="H59" t="str">
        <f t="shared" si="0"/>
        <v>rg:{}</v>
      </c>
    </row>
    <row r="60" spans="1:8" x14ac:dyDescent="0.35">
      <c r="A60" t="str">
        <f>IF(ISBLANK(Tasks!A60),"-",Tasks!A60&amp;"-"&amp;VLOOKUP(Tasks!B60,ActTasks!G:J,3,FALSE))</f>
        <v>knob-59</v>
      </c>
      <c r="B60">
        <f>VLOOKUP(Tasks!B60,ActTasks!G:I,3,FALSE)</f>
        <v>59</v>
      </c>
      <c r="C60" t="str">
        <f>VLOOKUP(Tasks!B60,ActTasks!G:I,2,FALSE)</f>
        <v>crappss</v>
      </c>
      <c r="D60" t="str">
        <f>Tasks!B60</f>
        <v>Approve Submission of Application</v>
      </c>
      <c r="E60" t="str">
        <f>Tasks!C60</f>
        <v>Complete</v>
      </c>
      <c r="F60" t="str">
        <f>Tasks!D60</f>
        <v>notifications</v>
      </c>
      <c r="G60" t="str">
        <f>"rg:dataset('status.csv','"&amp;Tasks!E60&amp;"')"</f>
        <v>rg:dataset('status.csv','regular')</v>
      </c>
      <c r="H60" t="str">
        <f t="shared" si="0"/>
        <v>rg:{}</v>
      </c>
    </row>
    <row r="61" spans="1:8" x14ac:dyDescent="0.35">
      <c r="A61" t="str">
        <f>IF(ISBLANK(Tasks!A61),"-",Tasks!A61&amp;"-"&amp;VLOOKUP(Tasks!B61,ActTasks!G:J,3,FALSE))</f>
        <v>knob-60</v>
      </c>
      <c r="B61">
        <f>VLOOKUP(Tasks!B61,ActTasks!G:I,3,FALSE)</f>
        <v>60</v>
      </c>
      <c r="C61" t="str">
        <f>VLOOKUP(Tasks!B61,ActTasks!G:I,2,FALSE)</f>
        <v>tocSS</v>
      </c>
      <c r="D61" t="str">
        <f>Tasks!B61</f>
        <v>Create ToC</v>
      </c>
      <c r="E61" t="str">
        <f>Tasks!C61</f>
        <v>Complete</v>
      </c>
      <c r="F61" t="str">
        <f>Tasks!D61</f>
        <v>notifications</v>
      </c>
      <c r="G61" t="str">
        <f>"rg:dataset('status.csv','"&amp;Tasks!E61&amp;"')"</f>
        <v>rg:dataset('status.csv','regular')</v>
      </c>
      <c r="H61" t="str">
        <f t="shared" si="0"/>
        <v>rg:{}</v>
      </c>
    </row>
    <row r="62" spans="1:8" x14ac:dyDescent="0.35">
      <c r="A62" t="str">
        <f>IF(ISBLANK(Tasks!A62),"-",Tasks!A62&amp;"-"&amp;VLOOKUP(Tasks!B62,ActTasks!G:J,3,FALSE))</f>
        <v>knob-61</v>
      </c>
      <c r="B62">
        <f>VLOOKUP(Tasks!B62,ActTasks!G:I,3,FALSE)</f>
        <v>61</v>
      </c>
      <c r="C62" t="str">
        <f>VLOOKUP(Tasks!B62,ActTasks!G:I,2,FALSE)</f>
        <v>scevaodpre</v>
      </c>
      <c r="D62" t="str">
        <f>Tasks!B62</f>
        <v>Schedule Evaluation Period</v>
      </c>
      <c r="E62" t="str">
        <f>Tasks!C62</f>
        <v>Complete</v>
      </c>
      <c r="F62" t="str">
        <f>Tasks!D62</f>
        <v>notifications</v>
      </c>
      <c r="G62" t="str">
        <f>"rg:dataset('status.csv','"&amp;Tasks!E62&amp;"')"</f>
        <v>rg:dataset('status.csv','regular')</v>
      </c>
      <c r="H62" t="str">
        <f t="shared" si="0"/>
        <v>rg:{}</v>
      </c>
    </row>
    <row r="63" spans="1:8" x14ac:dyDescent="0.35">
      <c r="A63" t="str">
        <f>IF(ISBLANK(Tasks!A63),"-",Tasks!A63&amp;"-"&amp;VLOOKUP(Tasks!B63,ActTasks!G:J,3,FALSE))</f>
        <v>knob-62</v>
      </c>
      <c r="B63">
        <f>VLOOKUP(Tasks!B63,ActTasks!G:I,3,FALSE)</f>
        <v>62</v>
      </c>
      <c r="C63" t="str">
        <f>VLOOKUP(Tasks!B63,ActTasks!G:I,2,FALSE)</f>
        <v>noworodpre</v>
      </c>
      <c r="D63" t="str">
        <f>Tasks!B63</f>
        <v>Notify Working Group of upcoming Evaluation Period</v>
      </c>
      <c r="E63" t="str">
        <f>Tasks!C63</f>
        <v>Complete</v>
      </c>
      <c r="F63" t="str">
        <f>Tasks!D63</f>
        <v>notifications</v>
      </c>
      <c r="G63" t="str">
        <f>"rg:dataset('status.csv','"&amp;Tasks!E63&amp;"')"</f>
        <v>rg:dataset('status.csv','regular')</v>
      </c>
      <c r="H63" t="str">
        <f t="shared" si="0"/>
        <v>rg:{}</v>
      </c>
    </row>
    <row r="64" spans="1:8" x14ac:dyDescent="0.35">
      <c r="A64" t="str">
        <f>IF(ISBLANK(Tasks!A64),"-",Tasks!A64&amp;"-"&amp;VLOOKUP(Tasks!B64,ActTasks!G:J,3,FALSE))</f>
        <v>knob-63</v>
      </c>
      <c r="B64">
        <f>VLOOKUP(Tasks!B64,ActTasks!G:I,3,FALSE)</f>
        <v>63</v>
      </c>
      <c r="C64" t="str">
        <f>VLOOKUP(Tasks!B64,ActTasks!G:I,2,FALSE)</f>
        <v>scworedpre</v>
      </c>
      <c r="D64" t="str">
        <f>Tasks!B64</f>
        <v>Schedule Working Group Metings as required</v>
      </c>
      <c r="E64" t="str">
        <f>Tasks!C64</f>
        <v>Complete</v>
      </c>
      <c r="F64" t="str">
        <f>Tasks!D64</f>
        <v>notifications</v>
      </c>
      <c r="G64" t="str">
        <f>"rg:dataset('status.csv','"&amp;Tasks!E64&amp;"')"</f>
        <v>rg:dataset('status.csv','regular')</v>
      </c>
      <c r="H64" t="str">
        <f t="shared" si="0"/>
        <v>rg:{}</v>
      </c>
    </row>
    <row r="65" spans="1:8" x14ac:dyDescent="0.35">
      <c r="A65" t="str">
        <f>IF(ISBLANK(Tasks!A65),"-",Tasks!A65&amp;"-"&amp;VLOOKUP(Tasks!B65,ActTasks!G:J,3,FALSE))</f>
        <v>knob-64</v>
      </c>
      <c r="B65">
        <f>VLOOKUP(Tasks!B65,ActTasks!G:I,3,FALSE)</f>
        <v>64</v>
      </c>
      <c r="C65" t="str">
        <f>VLOOKUP(Tasks!B65,ActTasks!G:I,2,FALSE)</f>
        <v>foaccon</v>
      </c>
      <c r="D65" t="str">
        <f>Tasks!B65</f>
        <v>Fomally Accept Application</v>
      </c>
      <c r="E65" t="str">
        <f>Tasks!C65</f>
        <v>Complete</v>
      </c>
      <c r="F65" t="str">
        <f>Tasks!D65</f>
        <v>notifications</v>
      </c>
      <c r="G65" t="str">
        <f>"rg:dataset('status.csv','"&amp;Tasks!E65&amp;"')"</f>
        <v>rg:dataset('status.csv','regular')</v>
      </c>
      <c r="H65" t="str">
        <f t="shared" si="0"/>
        <v>rg:{}</v>
      </c>
    </row>
    <row r="66" spans="1:8" x14ac:dyDescent="0.35">
      <c r="A66" t="str">
        <f>IF(ISBLANK(Tasks!A66),"-",Tasks!A66&amp;"-"&amp;VLOOKUP(Tasks!B66,ActTasks!G:J,3,FALSE))</f>
        <v>knob-65</v>
      </c>
      <c r="B66">
        <f>VLOOKUP(Tasks!B66,ActTasks!G:I,3,FALSE)</f>
        <v>65</v>
      </c>
      <c r="C66" t="str">
        <f>VLOOKUP(Tasks!B66,ActTasks!G:I,2,FALSE)</f>
        <v>noswgrs</v>
      </c>
      <c r="D66" t="str">
        <f>Tasks!B66</f>
        <v>Notify / Send Application, AIR, and Table of Concordance to Working Group Members</v>
      </c>
      <c r="E66" t="str">
        <f>Tasks!C66</f>
        <v>Complete</v>
      </c>
      <c r="F66" t="str">
        <f>Tasks!D66</f>
        <v>notifications</v>
      </c>
      <c r="G66" t="str">
        <f>"rg:dataset('status.csv','"&amp;Tasks!E66&amp;"')"</f>
        <v>rg:dataset('status.csv','regular')</v>
      </c>
      <c r="H66" t="str">
        <f t="shared" si="0"/>
        <v>rg:{}</v>
      </c>
    </row>
    <row r="67" spans="1:8" x14ac:dyDescent="0.35">
      <c r="A67" t="str">
        <f>IF(ISBLANK(Tasks!A67),"-",Tasks!A67&amp;"-"&amp;VLOOKUP(Tasks!B67,ActTasks!G:J,3,FALSE))</f>
        <v>knob-66</v>
      </c>
      <c r="B67">
        <f>VLOOKUP(Tasks!B67,ActTasks!G:I,3,FALSE)</f>
        <v>66</v>
      </c>
      <c r="C67" t="str">
        <f>VLOOKUP(Tasks!B67,ActTasks!G:I,2,FALSE)</f>
        <v>seinvnt</v>
      </c>
      <c r="D67" t="str">
        <f>Tasks!B67</f>
        <v>Send Invoice to Proponent</v>
      </c>
      <c r="E67" t="str">
        <f>Tasks!C67</f>
        <v>Complete</v>
      </c>
      <c r="F67" t="str">
        <f>Tasks!D67</f>
        <v>notifications</v>
      </c>
      <c r="G67" t="str">
        <f>"rg:dataset('status.csv','"&amp;Tasks!E67&amp;"')"</f>
        <v>rg:dataset('status.csv','regular')</v>
      </c>
      <c r="H67" t="str">
        <f t="shared" ref="H67:H87" si="1">"rg:{}"</f>
        <v>rg:{}</v>
      </c>
    </row>
    <row r="68" spans="1:8" x14ac:dyDescent="0.35">
      <c r="A68" t="str">
        <f>IF(ISBLANK(Tasks!A68),"-",Tasks!A68&amp;"-"&amp;VLOOKUP(Tasks!B68,ActTasks!G:J,3,FALSE))</f>
        <v>knob-67</v>
      </c>
      <c r="B68">
        <f>VLOOKUP(Tasks!B68,ActTasks!G:I,3,FALSE)</f>
        <v>67</v>
      </c>
      <c r="C68" t="str">
        <f>VLOOKUP(Tasks!B68,ActTasks!G:I,2,FALSE)</f>
        <v>coworlsinit</v>
      </c>
      <c r="D68" t="str">
        <f>Tasks!B68</f>
        <v>Confirm Working Group Application, AIR, and Table of Concordance</v>
      </c>
      <c r="E68" t="str">
        <f>Tasks!C68</f>
        <v>Complete</v>
      </c>
      <c r="F68" t="str">
        <f>Tasks!D68</f>
        <v>notifications</v>
      </c>
      <c r="G68" t="str">
        <f>"rg:dataset('status.csv','"&amp;Tasks!E68&amp;"')"</f>
        <v>rg:dataset('status.csv','regular')</v>
      </c>
      <c r="H68" t="str">
        <f t="shared" si="1"/>
        <v>rg:{}</v>
      </c>
    </row>
    <row r="69" spans="1:8" x14ac:dyDescent="0.35">
      <c r="A69" t="str">
        <f>IF(ISBLANK(Tasks!A69),"-",Tasks!A69&amp;"-"&amp;VLOOKUP(Tasks!B69,ActTasks!G:J,3,FALSE))</f>
        <v>knob-68</v>
      </c>
      <c r="B69">
        <f>VLOOKUP(Tasks!B69,ActTasks!G:I,3,FALSE)</f>
        <v>68</v>
      </c>
      <c r="C69" t="str">
        <f>VLOOKUP(Tasks!B69,ActTasks!G:I,2,FALSE)</f>
        <v>foiniod30</v>
      </c>
      <c r="D69" t="str">
        <f>Tasks!B69</f>
        <v>Formally Initiate 30 Day Evaluation Period</v>
      </c>
      <c r="E69" t="str">
        <f>Tasks!C69</f>
        <v>In Progress</v>
      </c>
      <c r="F69" t="str">
        <f>Tasks!D69</f>
        <v>notifications</v>
      </c>
      <c r="G69" t="str">
        <f>"rg:dataset('status.csv','"&amp;Tasks!E69&amp;"')"</f>
        <v>rg:dataset('status.csv','regular')</v>
      </c>
      <c r="H69" t="str">
        <f t="shared" si="1"/>
        <v>rg:{}</v>
      </c>
    </row>
    <row r="70" spans="1:8" x14ac:dyDescent="0.35">
      <c r="A70" t="str">
        <f>IF(ISBLANK(Tasks!A70),"-",Tasks!A70&amp;"-"&amp;VLOOKUP(Tasks!B70,ActTasks!G:J,3,FALSE))</f>
        <v>knob-69</v>
      </c>
      <c r="B70">
        <f>VLOOKUP(Tasks!B70,ActTasks!G:I,3,FALSE)</f>
        <v>69</v>
      </c>
      <c r="C70" t="str">
        <f>VLOOKUP(Tasks!B70,ActTasks!G:I,2,FALSE)</f>
        <v>doappetoc</v>
      </c>
      <c r="D70" t="str">
        <f>Tasks!B70</f>
        <v>Approve ToC</v>
      </c>
      <c r="E70" t="str">
        <f>Tasks!C70</f>
        <v>In Progress</v>
      </c>
      <c r="F70" t="str">
        <f>Tasks!D70</f>
        <v>notifications</v>
      </c>
      <c r="G70" t="str">
        <f>"rg:dataset('status.csv','"&amp;Tasks!E70&amp;"')"</f>
        <v>rg:dataset('status.csv','regular')</v>
      </c>
      <c r="H70" t="str">
        <f t="shared" si="1"/>
        <v>rg:{}</v>
      </c>
    </row>
    <row r="71" spans="1:8" x14ac:dyDescent="0.35">
      <c r="A71" t="str">
        <f>IF(ISBLANK(Tasks!A71),"-",Tasks!A71&amp;"-"&amp;VLOOKUP(Tasks!B71,ActTasks!G:J,3,FALSE))</f>
        <v>knob-70</v>
      </c>
      <c r="B71">
        <f>VLOOKUP(Tasks!B71,ActTasks!G:I,3,FALSE)</f>
        <v>70</v>
      </c>
      <c r="C71" t="str">
        <f>VLOOKUP(Tasks!B71,ActTasks!G:I,2,FALSE)</f>
        <v>scevaodwrap</v>
      </c>
      <c r="D71" t="str">
        <f>Tasks!B71</f>
        <v>Schedule Application Evaluation Period</v>
      </c>
      <c r="E71" t="str">
        <f>Tasks!C71</f>
        <v>In Progress</v>
      </c>
      <c r="F71" t="str">
        <f>Tasks!D71</f>
        <v>notifications</v>
      </c>
      <c r="G71" t="str">
        <f>"rg:dataset('status.csv','"&amp;Tasks!E71&amp;"')"</f>
        <v>rg:dataset('status.csv','regular')</v>
      </c>
      <c r="H71" t="str">
        <f t="shared" si="1"/>
        <v>rg:{}</v>
      </c>
    </row>
    <row r="72" spans="1:8" x14ac:dyDescent="0.35">
      <c r="A72" t="str">
        <f>IF(ISBLANK(Tasks!A72),"-",Tasks!A72&amp;"-"&amp;VLOOKUP(Tasks!B72,ActTasks!G:J,3,FALSE))</f>
        <v>knob-71</v>
      </c>
      <c r="B72">
        <f>VLOOKUP(Tasks!B72,ActTasks!G:I,3,FALSE)</f>
        <v>71</v>
      </c>
      <c r="C72" t="str">
        <f>VLOOKUP(Tasks!B72,ActTasks!G:I,2,FALSE)</f>
        <v>noworod</v>
      </c>
      <c r="D72" t="str">
        <f>Tasks!B72</f>
        <v>Notify Working Group of upcoming Review Period</v>
      </c>
      <c r="E72" t="str">
        <f>Tasks!C72</f>
        <v>In Progress</v>
      </c>
      <c r="F72" t="str">
        <f>Tasks!D72</f>
        <v>notifications</v>
      </c>
      <c r="G72" t="str">
        <f>"rg:dataset('status.csv','"&amp;Tasks!E72&amp;"')"</f>
        <v>rg:dataset('status.csv','regular')</v>
      </c>
      <c r="H72" t="str">
        <f t="shared" si="1"/>
        <v>rg:{}</v>
      </c>
    </row>
    <row r="73" spans="1:8" x14ac:dyDescent="0.35">
      <c r="A73" t="str">
        <f>IF(ISBLANK(Tasks!A73),"-",Tasks!A73&amp;"-"&amp;VLOOKUP(Tasks!B73,ActTasks!G:J,3,FALSE))</f>
        <v>knob-72</v>
      </c>
      <c r="B73">
        <f>VLOOKUP(Tasks!B73,ActTasks!G:I,3,FALSE)</f>
        <v>72</v>
      </c>
      <c r="C73" t="str">
        <f>VLOOKUP(Tasks!B73,ActTasks!G:I,2,FALSE)</f>
        <v>scwored</v>
      </c>
      <c r="D73" t="str">
        <f>Tasks!B73</f>
        <v>Schedule Working Group Application Evaluation Meetings as required</v>
      </c>
      <c r="E73" t="str">
        <f>Tasks!C73</f>
        <v>In Progress</v>
      </c>
      <c r="F73" t="str">
        <f>Tasks!D73</f>
        <v>notifications</v>
      </c>
      <c r="G73" t="str">
        <f>"rg:dataset('status.csv','"&amp;Tasks!E73&amp;"')"</f>
        <v>rg:dataset('status.csv','regular')</v>
      </c>
      <c r="H73" t="str">
        <f t="shared" si="1"/>
        <v>rg:{}</v>
      </c>
    </row>
    <row r="74" spans="1:8" x14ac:dyDescent="0.35">
      <c r="A74" t="str">
        <f>IF(ISBLANK(Tasks!A74),"-",Tasks!A74&amp;"-"&amp;VLOOKUP(Tasks!B74,ActTasks!G:J,3,FALSE))</f>
        <v>knob-73</v>
      </c>
      <c r="B74">
        <f>VLOOKUP(Tasks!B74,ActTasks!G:I,3,FALSE)</f>
        <v>73</v>
      </c>
      <c r="C74" t="str">
        <f>VLOOKUP(Tasks!B74,ActTasks!G:I,2,FALSE)</f>
        <v>nosrswg</v>
      </c>
      <c r="D74" t="str">
        <f>Tasks!B74</f>
        <v>Notify / Send Application to Working Group Members</v>
      </c>
      <c r="E74" t="str">
        <f>Tasks!C74</f>
        <v>In Progress</v>
      </c>
      <c r="F74" t="str">
        <f>Tasks!D74</f>
        <v>notifications</v>
      </c>
      <c r="G74" t="str">
        <f>"rg:dataset('status.csv','"&amp;Tasks!E74&amp;"')"</f>
        <v>rg:dataset('status.csv','regular')</v>
      </c>
      <c r="H74" t="str">
        <f t="shared" si="1"/>
        <v>rg:{}</v>
      </c>
    </row>
    <row r="75" spans="1:8" x14ac:dyDescent="0.35">
      <c r="A75" t="str">
        <f>IF(ISBLANK(Tasks!A75),"-",Tasks!A75&amp;"-"&amp;VLOOKUP(Tasks!B75,ActTasks!G:J,3,FALSE))</f>
        <v>knob-74</v>
      </c>
      <c r="B75">
        <f>VLOOKUP(Tasks!B75,ActTasks!G:I,3,FALSE)</f>
        <v>74</v>
      </c>
      <c r="C75" t="str">
        <f>VLOOKUP(Tasks!B75,ActTasks!G:I,2,FALSE)</f>
        <v>coworls</v>
      </c>
      <c r="D75" t="str">
        <f>Tasks!B75</f>
        <v>Confirm Working Group received Application Package of Materials</v>
      </c>
      <c r="E75" t="str">
        <f>Tasks!C75</f>
        <v>Not Started</v>
      </c>
      <c r="F75" t="str">
        <f>Tasks!D75</f>
        <v>notifications</v>
      </c>
      <c r="G75" t="str">
        <f>"rg:dataset('status.csv','"&amp;Tasks!E75&amp;"')"</f>
        <v>rg:dataset('status.csv','regular')</v>
      </c>
      <c r="H75" t="str">
        <f t="shared" si="1"/>
        <v>rg:{}</v>
      </c>
    </row>
    <row r="76" spans="1:8" x14ac:dyDescent="0.35">
      <c r="A76" t="str">
        <f>IF(ISBLANK(Tasks!A76),"-",Tasks!A76&amp;"-"&amp;VLOOKUP(Tasks!B76,ActTasks!G:J,3,FALSE))</f>
        <v>knob-75</v>
      </c>
      <c r="B76">
        <f>VLOOKUP(Tasks!B76,ActTasks!G:I,3,FALSE)</f>
        <v>75</v>
      </c>
      <c r="C76" t="str">
        <f>VLOOKUP(Tasks!B76,ActTasks!G:I,2,FALSE)</f>
        <v>foiniod</v>
      </c>
      <c r="D76" t="str">
        <f>Tasks!B76</f>
        <v>Formally Initiate 180 Day Review Period</v>
      </c>
      <c r="E76" t="str">
        <f>Tasks!C76</f>
        <v>Not Started</v>
      </c>
      <c r="F76" t="str">
        <f>Tasks!D76</f>
        <v>notifications</v>
      </c>
      <c r="G76" t="str">
        <f>"rg:dataset('status.csv','"&amp;Tasks!E76&amp;"')"</f>
        <v>rg:dataset('status.csv','regular')</v>
      </c>
      <c r="H76" t="str">
        <f t="shared" si="1"/>
        <v>rg:{}</v>
      </c>
    </row>
    <row r="77" spans="1:8" x14ac:dyDescent="0.35">
      <c r="A77" t="str">
        <f>IF(ISBLANK(Tasks!A77),"-",Tasks!A77&amp;"-"&amp;VLOOKUP(Tasks!B77,ActTasks!G:J,3,FALSE))</f>
        <v>knob-76</v>
      </c>
      <c r="B77">
        <f>VLOOKUP(Tasks!B77,ActTasks!G:I,3,FALSE)</f>
        <v>76</v>
      </c>
      <c r="C77" t="str">
        <f>VLOOKUP(Tasks!B77,ActTasks!G:I,2,FALSE)</f>
        <v>alproed</v>
      </c>
      <c r="D77" t="str">
        <f>Tasks!B77</f>
        <v>Alert Proponent/Stakeholders 180 Day Review commenced</v>
      </c>
      <c r="E77" t="str">
        <f>Tasks!C77</f>
        <v>Not Started</v>
      </c>
      <c r="F77" t="str">
        <f>Tasks!D77</f>
        <v>notifications</v>
      </c>
      <c r="G77" t="str">
        <f>"rg:dataset('status.csv','"&amp;Tasks!E77&amp;"')"</f>
        <v>rg:dataset('status.csv','regular')</v>
      </c>
      <c r="H77" t="str">
        <f t="shared" si="1"/>
        <v>rg:{}</v>
      </c>
    </row>
    <row r="78" spans="1:8" x14ac:dyDescent="0.35">
      <c r="A78" t="str">
        <f>IF(ISBLANK(Tasks!A78),"-",Tasks!A78&amp;"-"&amp;VLOOKUP(Tasks!B78,ActTasks!G:J,3,FALSE))</f>
        <v>knob-77</v>
      </c>
      <c r="B78">
        <f>VLOOKUP(Tasks!B78,ActTasks!G:I,3,FALSE)</f>
        <v>77</v>
      </c>
      <c r="C78" t="str">
        <f>VLOOKUP(Tasks!B78,ActTasks!G:I,2,FALSE)</f>
        <v>doappnrev</v>
      </c>
      <c r="D78" t="str">
        <f>Tasks!B78</f>
        <v>Approve Application</v>
      </c>
      <c r="E78" t="str">
        <f>Tasks!C78</f>
        <v>Not Started</v>
      </c>
      <c r="F78" t="str">
        <f>Tasks!D78</f>
        <v>notifications</v>
      </c>
      <c r="G78" t="str">
        <f>"rg:dataset('status.csv','"&amp;Tasks!E78&amp;"')"</f>
        <v>rg:dataset('status.csv','regular')</v>
      </c>
      <c r="H78" t="str">
        <f t="shared" si="1"/>
        <v>rg:{}</v>
      </c>
    </row>
    <row r="79" spans="1:8" x14ac:dyDescent="0.35">
      <c r="A79" t="str">
        <f>IF(ISBLANK(Tasks!A79),"-",Tasks!A79&amp;"-"&amp;VLOOKUP(Tasks!B79,ActTasks!G:J,3,FALSE))</f>
        <v>knob-78</v>
      </c>
      <c r="B79">
        <f>VLOOKUP(Tasks!B79,ActTasks!G:I,3,FALSE)</f>
        <v>78</v>
      </c>
      <c r="C79" t="str">
        <f>VLOOKUP(Tasks!B79,ActTasks!G:I,2,FALSE)</f>
        <v>inpubss</v>
      </c>
      <c r="D79" t="str">
        <f>Tasks!B79</f>
        <v>initiate Public Comment Period Process</v>
      </c>
      <c r="E79" t="str">
        <f>Tasks!C79</f>
        <v>Not Started</v>
      </c>
      <c r="F79" t="str">
        <f>Tasks!D79</f>
        <v>notifications</v>
      </c>
      <c r="G79" t="str">
        <f>"rg:dataset('status.csv','"&amp;Tasks!E79&amp;"')"</f>
        <v>rg:dataset('status.csv','regular')</v>
      </c>
      <c r="H79" t="str">
        <f t="shared" si="1"/>
        <v>rg:{}</v>
      </c>
    </row>
    <row r="80" spans="1:8" x14ac:dyDescent="0.35">
      <c r="A80" t="str">
        <f>IF(ISBLANK(Tasks!A80),"-",Tasks!A80&amp;"-"&amp;VLOOKUP(Tasks!B80,ActTasks!G:J,3,FALSE))</f>
        <v>knob-79</v>
      </c>
      <c r="B80">
        <f>VLOOKUP(Tasks!B80,ActTasks!G:I,3,FALSE)</f>
        <v>79</v>
      </c>
      <c r="C80" t="str">
        <f>VLOOKUP(Tasks!B80,ActTasks!G:I,2,FALSE)</f>
        <v>reandns</v>
      </c>
      <c r="D80" t="str">
        <f>Tasks!B80</f>
        <v>Review and Complete Conditions</v>
      </c>
      <c r="E80" t="str">
        <f>Tasks!C80</f>
        <v>Not Started</v>
      </c>
      <c r="F80" t="str">
        <f>Tasks!D80</f>
        <v>notifications</v>
      </c>
      <c r="G80" t="str">
        <f>"rg:dataset('status.csv','"&amp;Tasks!E80&amp;"')"</f>
        <v>rg:dataset('status.csv','regular')</v>
      </c>
      <c r="H80" t="str">
        <f t="shared" si="1"/>
        <v>rg:{}</v>
      </c>
    </row>
    <row r="81" spans="1:8" x14ac:dyDescent="0.35">
      <c r="A81" t="str">
        <f>IF(ISBLANK(Tasks!A81),"-",Tasks!A81&amp;"-"&amp;VLOOKUP(Tasks!B81,ActTasks!G:J,3,FALSE))</f>
        <v>knob-80</v>
      </c>
      <c r="B81">
        <f>VLOOKUP(Tasks!B81,ActTasks!G:I,3,FALSE)</f>
        <v>80</v>
      </c>
      <c r="C81" t="str">
        <f>VLOOKUP(Tasks!B81,ActTasks!G:I,2,FALSE)</f>
        <v>reandon</v>
      </c>
      <c r="D81" t="str">
        <f>Tasks!B81</f>
        <v>Revise and Finalize Certified Project Description</v>
      </c>
      <c r="E81" t="str">
        <f>Tasks!C81</f>
        <v>Not Started</v>
      </c>
      <c r="F81" t="str">
        <f>Tasks!D81</f>
        <v>notifications</v>
      </c>
      <c r="G81" t="str">
        <f>"rg:dataset('status.csv','"&amp;Tasks!E81&amp;"')"</f>
        <v>rg:dataset('status.csv','regular')</v>
      </c>
      <c r="H81" t="str">
        <f t="shared" si="1"/>
        <v>rg:{}</v>
      </c>
    </row>
    <row r="82" spans="1:8" x14ac:dyDescent="0.35">
      <c r="A82" t="str">
        <f>IF(ISBLANK(Tasks!A82),"-",Tasks!A82&amp;"-"&amp;VLOOKUP(Tasks!B82,ActTasks!G:J,3,FALSE))</f>
        <v>-</v>
      </c>
      <c r="B82" t="e">
        <f>VLOOKUP(Tasks!B82,ActTasks!G:I,3,FALSE)</f>
        <v>#N/A</v>
      </c>
      <c r="C82" t="e">
        <f>VLOOKUP(Tasks!B82,ActTasks!G:I,2,FALSE)</f>
        <v>#N/A</v>
      </c>
      <c r="D82">
        <f>Tasks!B82</f>
        <v>0</v>
      </c>
      <c r="E82">
        <f>Tasks!C82</f>
        <v>0</v>
      </c>
      <c r="F82">
        <f>Tasks!D82</f>
        <v>0</v>
      </c>
      <c r="G82" t="str">
        <f>"rg:dataset('status.csv','"&amp;Tasks!E82&amp;"')"</f>
        <v>rg:dataset('status.csv','')</v>
      </c>
      <c r="H82" t="str">
        <f t="shared" si="1"/>
        <v>rg:{}</v>
      </c>
    </row>
    <row r="83" spans="1:8" x14ac:dyDescent="0.35">
      <c r="A83" t="str">
        <f>IF(ISBLANK(Tasks!A83),"-",Tasks!A83&amp;"-"&amp;VLOOKUP(Tasks!B83,ActTasks!G:J,3,FALSE))</f>
        <v>-</v>
      </c>
      <c r="B83" t="e">
        <f>VLOOKUP(Tasks!B83,ActTasks!G:I,3,FALSE)</f>
        <v>#N/A</v>
      </c>
      <c r="C83" t="e">
        <f>VLOOKUP(Tasks!B83,ActTasks!G:I,2,FALSE)</f>
        <v>#N/A</v>
      </c>
      <c r="D83">
        <f>Tasks!B83</f>
        <v>0</v>
      </c>
      <c r="E83">
        <f>Tasks!C83</f>
        <v>0</v>
      </c>
      <c r="F83">
        <f>Tasks!D83</f>
        <v>0</v>
      </c>
      <c r="G83" t="str">
        <f>"rg:dataset('status.csv','"&amp;Tasks!E83&amp;"')"</f>
        <v>rg:dataset('status.csv','')</v>
      </c>
      <c r="H83" t="str">
        <f t="shared" si="1"/>
        <v>rg:{}</v>
      </c>
    </row>
    <row r="84" spans="1:8" x14ac:dyDescent="0.35">
      <c r="A84" t="str">
        <f>IF(ISBLANK(Tasks!A84),"-",Tasks!A84&amp;"-"&amp;VLOOKUP(Tasks!B84,ActTasks!G:J,3,FALSE))</f>
        <v>-</v>
      </c>
      <c r="B84" t="e">
        <f>VLOOKUP(Tasks!B84,ActTasks!G:I,3,FALSE)</f>
        <v>#N/A</v>
      </c>
      <c r="C84" t="e">
        <f>VLOOKUP(Tasks!B84,ActTasks!G:I,2,FALSE)</f>
        <v>#N/A</v>
      </c>
      <c r="D84">
        <f>Tasks!B84</f>
        <v>0</v>
      </c>
      <c r="E84">
        <f>Tasks!C84</f>
        <v>0</v>
      </c>
      <c r="F84">
        <f>Tasks!D84</f>
        <v>0</v>
      </c>
      <c r="G84" t="str">
        <f>"rg:dataset('status.csv','"&amp;Tasks!E84&amp;"')"</f>
        <v>rg:dataset('status.csv','')</v>
      </c>
      <c r="H84" t="str">
        <f t="shared" si="1"/>
        <v>rg:{}</v>
      </c>
    </row>
    <row r="85" spans="1:8" x14ac:dyDescent="0.35">
      <c r="A85" t="str">
        <f>IF(ISBLANK(Tasks!A85),"-",Tasks!A85&amp;"-"&amp;VLOOKUP(Tasks!B85,ActTasks!G:J,3,FALSE))</f>
        <v>-</v>
      </c>
      <c r="B85" t="e">
        <f>VLOOKUP(Tasks!B85,ActTasks!G:I,3,FALSE)</f>
        <v>#N/A</v>
      </c>
      <c r="C85" t="e">
        <f>VLOOKUP(Tasks!B85,ActTasks!G:I,2,FALSE)</f>
        <v>#N/A</v>
      </c>
      <c r="D85">
        <f>Tasks!B85</f>
        <v>0</v>
      </c>
      <c r="E85">
        <f>Tasks!C85</f>
        <v>0</v>
      </c>
      <c r="F85">
        <f>Tasks!D85</f>
        <v>0</v>
      </c>
      <c r="G85" t="str">
        <f>"rg:dataset('status.csv','"&amp;Tasks!E85&amp;"')"</f>
        <v>rg:dataset('status.csv','')</v>
      </c>
      <c r="H85" t="str">
        <f t="shared" si="1"/>
        <v>rg:{}</v>
      </c>
    </row>
    <row r="86" spans="1:8" x14ac:dyDescent="0.35">
      <c r="A86" t="str">
        <f>IF(ISBLANK(Tasks!A86),"-",Tasks!A86&amp;"-"&amp;VLOOKUP(Tasks!B86,ActTasks!G:J,3,FALSE))</f>
        <v>-</v>
      </c>
      <c r="B86" t="e">
        <f>VLOOKUP(Tasks!B86,ActTasks!G:I,3,FALSE)</f>
        <v>#N/A</v>
      </c>
      <c r="C86" t="e">
        <f>VLOOKUP(Tasks!B86,ActTasks!G:I,2,FALSE)</f>
        <v>#N/A</v>
      </c>
      <c r="D86">
        <f>Tasks!B86</f>
        <v>0</v>
      </c>
      <c r="E86">
        <f>Tasks!C86</f>
        <v>0</v>
      </c>
      <c r="F86">
        <f>Tasks!D86</f>
        <v>0</v>
      </c>
      <c r="G86" t="str">
        <f>"rg:dataset('status.csv','"&amp;Tasks!E86&amp;"')"</f>
        <v>rg:dataset('status.csv','')</v>
      </c>
      <c r="H86" t="str">
        <f t="shared" si="1"/>
        <v>rg:{}</v>
      </c>
    </row>
    <row r="87" spans="1:8" x14ac:dyDescent="0.35">
      <c r="A87" t="str">
        <f>IF(ISBLANK(Tasks!A87),"-",Tasks!A87&amp;"-"&amp;VLOOKUP(Tasks!B87,ActTasks!G:J,3,FALSE))</f>
        <v>-</v>
      </c>
      <c r="B87" t="e">
        <f>VLOOKUP(Tasks!B87,ActTasks!G:I,3,FALSE)</f>
        <v>#N/A</v>
      </c>
      <c r="C87" t="e">
        <f>VLOOKUP(Tasks!B87,ActTasks!G:I,2,FALSE)</f>
        <v>#N/A</v>
      </c>
      <c r="D87">
        <f>Tasks!B87</f>
        <v>0</v>
      </c>
      <c r="E87">
        <f>Tasks!C87</f>
        <v>0</v>
      </c>
      <c r="F87">
        <f>Tasks!D87</f>
        <v>0</v>
      </c>
      <c r="G87" t="str">
        <f>"rg:dataset('status.csv','"&amp;Tasks!E87&amp;"')"</f>
        <v>rg:dataset('status.csv','')</v>
      </c>
      <c r="H87" t="str">
        <f t="shared" si="1"/>
        <v>rg:{}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8"/>
  <sheetViews>
    <sheetView workbookViewId="0">
      <selection activeCell="I2" sqref="I2:I28"/>
    </sheetView>
  </sheetViews>
  <sheetFormatPr defaultRowHeight="15.5" x14ac:dyDescent="0.35"/>
  <cols>
    <col min="2" max="2" width="5" bestFit="1" customWidth="1"/>
    <col min="9" max="9" width="11.25" bestFit="1" customWidth="1"/>
    <col min="10" max="10" width="5.9140625" bestFit="1" customWidth="1"/>
    <col min="11" max="11" width="30.08203125" bestFit="1" customWidth="1"/>
  </cols>
  <sheetData>
    <row r="1" spans="1:13" x14ac:dyDescent="0.35">
      <c r="A1" t="s">
        <v>0</v>
      </c>
      <c r="B1" t="s">
        <v>1</v>
      </c>
      <c r="C1" t="s">
        <v>2</v>
      </c>
      <c r="D1" t="s">
        <v>4</v>
      </c>
      <c r="E1" t="s">
        <v>244</v>
      </c>
      <c r="F1" t="s">
        <v>245</v>
      </c>
      <c r="G1" t="s">
        <v>246</v>
      </c>
      <c r="H1" t="s">
        <v>247</v>
      </c>
      <c r="I1" t="s">
        <v>248</v>
      </c>
      <c r="J1" t="s">
        <v>17</v>
      </c>
      <c r="K1" t="s">
        <v>249</v>
      </c>
      <c r="L1" t="s">
        <v>237</v>
      </c>
      <c r="M1" t="s">
        <v>250</v>
      </c>
    </row>
    <row r="2" spans="1:13" x14ac:dyDescent="0.35">
      <c r="A2" t="str">
        <f>IF(ISBLANK(Activities!A2),"-",Activities!A2)</f>
        <v>knob</v>
      </c>
      <c r="B2">
        <f>VLOOKUP(C2,ActTasks!D:F,3,FALSE)</f>
        <v>1</v>
      </c>
      <c r="C2" t="str">
        <f>Activities!B2</f>
        <v>Initiate Project</v>
      </c>
      <c r="D2" t="str">
        <f>Activities!C2</f>
        <v>Initiate Project</v>
      </c>
      <c r="E2" t="str">
        <f ca="1">IF(ISBLANK(Activities!D2),"rg:None",TEXT(Activities!D2,"YYYY-MM-DDTHH:mm:SS.000Z"))</f>
        <v>2014-06-21T00:00:00.000Z</v>
      </c>
      <c r="F2" t="str">
        <f ca="1">IF(ISBLANK(Activities!E2),"rg:None",TEXT(Activities!$D2+Activities!E2,"YYYY-MM-DDTHH:mm:SS.000Z"))</f>
        <v>2014-06-21T00:00:00.000Z</v>
      </c>
      <c r="G2" t="str">
        <f ca="1">IF(ISBLANK(Activities!F2),"rg:None",TEXT(Activities!$D2+Activities!F2,"YYYY-MM-DDTHH:mm:SS.000Z"))</f>
        <v>2014-06-21T00:00:00.000Z</v>
      </c>
      <c r="H2" t="str">
        <f>IF(ISBLANK(Activities!G2),"rg:None",LOWER(Activities!G2))</f>
        <v>complete</v>
      </c>
      <c r="I2" t="str">
        <f>IF(ISBLANK(Activities!H2),"rg:None","rg:{'user': '"&amp;Activities!I2&amp;"'}")</f>
        <v>rg:{'user': '4'}</v>
      </c>
      <c r="J2" t="s">
        <v>242</v>
      </c>
      <c r="K2" t="str">
        <f>IF(ISBLANK(Activities!J2),"rg:[]","rg:dataset('visibility.csv','"&amp;Activities!J2&amp;"')")</f>
        <v>rg:dataset('visibility.csv','eaoonly')</v>
      </c>
      <c r="L2" t="s">
        <v>242</v>
      </c>
      <c r="M2" t="str">
        <f>"rg:dataset('tasks.csv','"&amp;A2&amp;"-"&amp;B2&amp;"')"</f>
        <v>rg:dataset('tasks.csv','knob-1')</v>
      </c>
    </row>
    <row r="3" spans="1:13" x14ac:dyDescent="0.35">
      <c r="A3" t="str">
        <f>IF(ISBLANK(Activities!A3),"-",Activities!A3)</f>
        <v>knob</v>
      </c>
      <c r="B3">
        <f>VLOOKUP(C3,ActTasks!D:F,3,FALSE)</f>
        <v>2</v>
      </c>
      <c r="C3" t="str">
        <f>Activities!B3</f>
        <v>Set up Project Space</v>
      </c>
      <c r="D3" t="str">
        <f>Activities!C3</f>
        <v>Set up Project Space</v>
      </c>
      <c r="E3" t="str">
        <f ca="1">IF(ISBLANK(Activities!D3),"rg:None",TEXT(Activities!D3,"YYYY-MM-DDTHH:mm:SS.000Z"))</f>
        <v>2014-06-21T00:00:00.000Z</v>
      </c>
      <c r="F3" t="str">
        <f ca="1">IF(ISBLANK(Activities!E3),"rg:None",TEXT(Activities!$D3+Activities!E3,"YYYY-MM-DDTHH:mm:SS.000Z"))</f>
        <v>2014-06-21T00:00:00.000Z</v>
      </c>
      <c r="G3" t="str">
        <f ca="1">IF(ISBLANK(Activities!F3),"rg:None",TEXT(Activities!$D3+Activities!F3,"YYYY-MM-DDTHH:mm:SS.000Z"))</f>
        <v>2014-06-21T00:00:00.000Z</v>
      </c>
      <c r="H3" t="str">
        <f>IF(ISBLANK(Activities!G3),"rg:None",LOWER(Activities!G3))</f>
        <v>complete</v>
      </c>
      <c r="I3" t="str">
        <f>IF(ISBLANK(Activities!H3),"rg:None","rg:{'user': '"&amp;Activities!I3&amp;"'}")</f>
        <v>rg:{'user': '4'}</v>
      </c>
      <c r="J3" t="s">
        <v>242</v>
      </c>
      <c r="K3" t="str">
        <f>IF(ISBLANK(Activities!J3),"rg:[]","rg:dataset('visibility.csv','"&amp;Activities!J3&amp;"')")</f>
        <v>rg:dataset('visibility.csv','eaoonly')</v>
      </c>
      <c r="L3" t="s">
        <v>242</v>
      </c>
      <c r="M3" t="str">
        <f t="shared" ref="M3:M28" si="0">"rg:dataset('tasks.csv','"&amp;A3&amp;"-"&amp;B3&amp;"')"</f>
        <v>rg:dataset('tasks.csv','knob-2')</v>
      </c>
    </row>
    <row r="4" spans="1:13" x14ac:dyDescent="0.35">
      <c r="A4" t="str">
        <f>IF(ISBLANK(Activities!A4),"-",Activities!A4)</f>
        <v>knob</v>
      </c>
      <c r="B4">
        <f>VLOOKUP(C4,ActTasks!D:F,3,FALSE)</f>
        <v>3</v>
      </c>
      <c r="C4" t="str">
        <f>Activities!B4</f>
        <v>Begin Strength of Claim Process</v>
      </c>
      <c r="D4" t="str">
        <f>Activities!C4</f>
        <v>Begin Strength of Claim Process</v>
      </c>
      <c r="E4" t="str">
        <f ca="1">IF(ISBLANK(Activities!D4),"rg:None",TEXT(Activities!D4,"YYYY-MM-DDTHH:mm:SS.000Z"))</f>
        <v>2014-06-21T00:00:00.000Z</v>
      </c>
      <c r="F4" t="str">
        <f ca="1">IF(ISBLANK(Activities!E4),"rg:None",TEXT(Activities!$D4+Activities!E4,"YYYY-MM-DDTHH:mm:SS.000Z"))</f>
        <v>2014-07-14T00:00:00.000Z</v>
      </c>
      <c r="G4" t="str">
        <f ca="1">IF(ISBLANK(Activities!F4),"rg:None",TEXT(Activities!$D4+Activities!F4,"YYYY-MM-DDTHH:mm:SS.000Z"))</f>
        <v>2014-07-14T00:00:00.000Z</v>
      </c>
      <c r="H4" t="str">
        <f>IF(ISBLANK(Activities!G4),"rg:None",LOWER(Activities!G4))</f>
        <v>complete</v>
      </c>
      <c r="I4" t="str">
        <f>IF(ISBLANK(Activities!H4),"rg:None","rg:{'user': '"&amp;Activities!I4&amp;"'}")</f>
        <v>rg:{'user': '4'}</v>
      </c>
      <c r="J4" t="s">
        <v>242</v>
      </c>
      <c r="K4" t="str">
        <f>IF(ISBLANK(Activities!J4),"rg:[]","rg:dataset('visibility.csv','"&amp;Activities!J4&amp;"')")</f>
        <v>rg:dataset('visibility.csv','eaoonly')</v>
      </c>
      <c r="L4" t="s">
        <v>242</v>
      </c>
      <c r="M4" t="str">
        <f t="shared" si="0"/>
        <v>rg:dataset('tasks.csv','knob-3')</v>
      </c>
    </row>
    <row r="5" spans="1:13" x14ac:dyDescent="0.35">
      <c r="A5" t="str">
        <f>IF(ISBLANK(Activities!A5),"-",Activities!A5)</f>
        <v>knob</v>
      </c>
      <c r="B5">
        <f>VLOOKUP(C5,ActTasks!D:F,3,FALSE)</f>
        <v>4</v>
      </c>
      <c r="C5" t="str">
        <f>Activities!B5</f>
        <v>Populate Content</v>
      </c>
      <c r="D5" t="str">
        <f>Activities!C5</f>
        <v>Populate Content</v>
      </c>
      <c r="E5" t="str">
        <f ca="1">IF(ISBLANK(Activities!D5),"rg:None",TEXT(Activities!D5,"YYYY-MM-DDTHH:mm:SS.000Z"))</f>
        <v>2014-06-21T00:00:00.000Z</v>
      </c>
      <c r="F5" t="str">
        <f ca="1">IF(ISBLANK(Activities!E5),"rg:None",TEXT(Activities!$D5+Activities!E5,"YYYY-MM-DDTHH:mm:SS.000Z"))</f>
        <v>2014-07-06T00:00:00.000Z</v>
      </c>
      <c r="G5" t="str">
        <f ca="1">IF(ISBLANK(Activities!F5),"rg:None",TEXT(Activities!$D5+Activities!F5,"YYYY-MM-DDTHH:mm:SS.000Z"))</f>
        <v>2014-07-06T00:00:00.000Z</v>
      </c>
      <c r="H5" t="str">
        <f>IF(ISBLANK(Activities!G5),"rg:None",LOWER(Activities!G5))</f>
        <v>complete</v>
      </c>
      <c r="I5" t="str">
        <f>IF(ISBLANK(Activities!H5),"rg:None","rg:{'user': '"&amp;Activities!I5&amp;"'}")</f>
        <v>rg:{'user': '4'}</v>
      </c>
      <c r="J5" t="s">
        <v>242</v>
      </c>
      <c r="K5" t="str">
        <f>IF(ISBLANK(Activities!J5),"rg:[]","rg:dataset('visibility.csv','"&amp;Activities!J5&amp;"')")</f>
        <v>rg:dataset('visibility.csv','eaoonly')</v>
      </c>
      <c r="L5" t="s">
        <v>242</v>
      </c>
      <c r="M5" t="str">
        <f t="shared" si="0"/>
        <v>rg:dataset('tasks.csv','knob-4')</v>
      </c>
    </row>
    <row r="6" spans="1:13" x14ac:dyDescent="0.35">
      <c r="A6" t="str">
        <f>IF(ISBLANK(Activities!A6),"-",Activities!A6)</f>
        <v>knob</v>
      </c>
      <c r="B6">
        <f>VLOOKUP(C6,ActTasks!D:F,3,FALSE)</f>
        <v>5</v>
      </c>
      <c r="C6" t="str">
        <f>Activities!B6</f>
        <v>Create Project Description</v>
      </c>
      <c r="D6" t="str">
        <f>Activities!C6</f>
        <v>Create Project Description</v>
      </c>
      <c r="E6" t="str">
        <f ca="1">IF(ISBLANK(Activities!D6),"rg:None",TEXT(Activities!D6,"YYYY-MM-DDTHH:mm:SS.000Z"))</f>
        <v>2014-06-21T00:00:00.000Z</v>
      </c>
      <c r="F6" t="str">
        <f ca="1">IF(ISBLANK(Activities!E6),"rg:None",TEXT(Activities!$D6+Activities!E6,"YYYY-MM-DDTHH:mm:SS.000Z"))</f>
        <v>2014-08-05T00:00:00.000Z</v>
      </c>
      <c r="G6" t="str">
        <f ca="1">IF(ISBLANK(Activities!F6),"rg:None",TEXT(Activities!$D6+Activities!F6,"YYYY-MM-DDTHH:mm:SS.000Z"))</f>
        <v>2014-08-05T00:00:00.000Z</v>
      </c>
      <c r="H6" t="str">
        <f>IF(ISBLANK(Activities!G6),"rg:None",LOWER(Activities!G6))</f>
        <v>complete</v>
      </c>
      <c r="I6" t="str">
        <f>IF(ISBLANK(Activities!H6),"rg:None","rg:{'user': '"&amp;Activities!I6&amp;"'}")</f>
        <v>rg:{'user': '2'}</v>
      </c>
      <c r="J6" t="s">
        <v>242</v>
      </c>
      <c r="K6" t="str">
        <f>IF(ISBLANK(Activities!J6),"rg:[]","rg:dataset('visibility.csv','"&amp;Activities!J6&amp;"')")</f>
        <v>rg:dataset('visibility.csv','proponly')</v>
      </c>
      <c r="L6" t="s">
        <v>242</v>
      </c>
      <c r="M6" t="str">
        <f t="shared" si="0"/>
        <v>rg:dataset('tasks.csv','knob-5')</v>
      </c>
    </row>
    <row r="7" spans="1:13" x14ac:dyDescent="0.35">
      <c r="A7" t="str">
        <f>IF(ISBLANK(Activities!A7),"-",Activities!A7)</f>
        <v>knob</v>
      </c>
      <c r="B7">
        <f>VLOOKUP(C7,ActTasks!D:F,3,FALSE)</f>
        <v>6</v>
      </c>
      <c r="C7" t="str">
        <f>Activities!B7</f>
        <v>Create Section 10(1)c</v>
      </c>
      <c r="D7" t="str">
        <f>Activities!C7</f>
        <v>Create Section 10(1)c</v>
      </c>
      <c r="E7" t="str">
        <f ca="1">IF(ISBLANK(Activities!D7),"rg:None",TEXT(Activities!D7,"YYYY-MM-DDTHH:mm:SS.000Z"))</f>
        <v>2014-08-05T00:00:00.000Z</v>
      </c>
      <c r="F7" t="str">
        <f ca="1">IF(ISBLANK(Activities!E7),"rg:None",TEXT(Activities!$D7+Activities!E7,"YYYY-MM-DDTHH:mm:SS.000Z"))</f>
        <v>2014-08-28T00:00:00.000Z</v>
      </c>
      <c r="G7" t="str">
        <f ca="1">IF(ISBLANK(Activities!F7),"rg:None",TEXT(Activities!$D7+Activities!F7,"YYYY-MM-DDTHH:mm:SS.000Z"))</f>
        <v>2014-08-28T00:00:00.000Z</v>
      </c>
      <c r="H7" t="str">
        <f>IF(ISBLANK(Activities!G7),"rg:None",LOWER(Activities!G7))</f>
        <v>complete</v>
      </c>
      <c r="I7" t="str">
        <f>IF(ISBLANK(Activities!H7),"rg:None","rg:{'user': '"&amp;Activities!I7&amp;"'}")</f>
        <v>rg:{'user': '4'}</v>
      </c>
      <c r="J7" t="s">
        <v>242</v>
      </c>
      <c r="K7" t="str">
        <f>IF(ISBLANK(Activities!J7),"rg:[]","rg:dataset('visibility.csv','"&amp;Activities!J7&amp;"')")</f>
        <v>rg:dataset('visibility.csv','eaoonly')</v>
      </c>
      <c r="L7" t="s">
        <v>242</v>
      </c>
      <c r="M7" t="str">
        <f t="shared" si="0"/>
        <v>rg:dataset('tasks.csv','knob-6')</v>
      </c>
    </row>
    <row r="8" spans="1:13" x14ac:dyDescent="0.35">
      <c r="A8" t="str">
        <f>IF(ISBLANK(Activities!A8),"-",Activities!A8)</f>
        <v>knob</v>
      </c>
      <c r="B8">
        <f>VLOOKUP(C8,ActTasks!D:F,3,FALSE)</f>
        <v>7</v>
      </c>
      <c r="C8" t="str">
        <f>Activities!B8</f>
        <v>Create and Finalize Section 11 Document</v>
      </c>
      <c r="D8" t="str">
        <f>Activities!C8</f>
        <v>Create and Finalize Section 11 Document</v>
      </c>
      <c r="E8" t="str">
        <f ca="1">IF(ISBLANK(Activities!D8),"rg:None",TEXT(Activities!D8,"YYYY-MM-DDTHH:mm:SS.000Z"))</f>
        <v>2014-08-28T00:00:00.000Z</v>
      </c>
      <c r="F8" t="str">
        <f ca="1">IF(ISBLANK(Activities!E8),"rg:None",TEXT(Activities!$D8+Activities!E8,"YYYY-MM-DDTHH:mm:SS.000Z"))</f>
        <v>2014-11-03T00:00:00.000Z</v>
      </c>
      <c r="G8" t="str">
        <f ca="1">IF(ISBLANK(Activities!F8),"rg:None",TEXT(Activities!$D8+Activities!F8,"YYYY-MM-DDTHH:mm:SS.000Z"))</f>
        <v>2014-11-03T00:00:00.000Z</v>
      </c>
      <c r="H8" t="str">
        <f>IF(ISBLANK(Activities!G8),"rg:None",LOWER(Activities!G8))</f>
        <v>complete</v>
      </c>
      <c r="I8" t="str">
        <f>IF(ISBLANK(Activities!H8),"rg:None","rg:{'user': '"&amp;Activities!I8&amp;"'}")</f>
        <v>rg:{'user': '4'}</v>
      </c>
      <c r="J8" t="s">
        <v>242</v>
      </c>
      <c r="K8" t="str">
        <f>IF(ISBLANK(Activities!J8),"rg:[]","rg:dataset('visibility.csv','"&amp;Activities!J8&amp;"')")</f>
        <v>rg:dataset('visibility.csv','eaoonly')</v>
      </c>
      <c r="L8" t="s">
        <v>242</v>
      </c>
      <c r="M8" t="str">
        <f t="shared" si="0"/>
        <v>rg:dataset('tasks.csv','knob-7')</v>
      </c>
    </row>
    <row r="9" spans="1:13" x14ac:dyDescent="0.35">
      <c r="A9" t="str">
        <f>IF(ISBLANK(Activities!A9),"-",Activities!A9)</f>
        <v>knob</v>
      </c>
      <c r="B9">
        <f>VLOOKUP(C9,ActTasks!D:F,3,FALSE)</f>
        <v>8</v>
      </c>
      <c r="C9" t="str">
        <f>Activities!B9</f>
        <v>Enter Value Component Mandatory Minimum</v>
      </c>
      <c r="D9" t="str">
        <f>Activities!C9</f>
        <v>Enter Value Component Mandatory Minimum</v>
      </c>
      <c r="E9" t="str">
        <f ca="1">IF(ISBLANK(Activities!D9),"rg:None",TEXT(Activities!D9,"YYYY-MM-DDTHH:mm:SS.000Z"))</f>
        <v>2014-08-28T00:00:00.000Z</v>
      </c>
      <c r="F9" t="str">
        <f ca="1">IF(ISBLANK(Activities!E9),"rg:None",TEXT(Activities!$D9+Activities!E9,"YYYY-MM-DDTHH:mm:SS.000Z"))</f>
        <v>2014-09-22T00:00:00.000Z</v>
      </c>
      <c r="G9" t="str">
        <f ca="1">IF(ISBLANK(Activities!F9),"rg:None",TEXT(Activities!$D9+Activities!F9,"YYYY-MM-DDTHH:mm:SS.000Z"))</f>
        <v>2014-09-22T00:00:00.000Z</v>
      </c>
      <c r="H9" t="str">
        <f>IF(ISBLANK(Activities!G9),"rg:None",LOWER(Activities!G9))</f>
        <v>complete</v>
      </c>
      <c r="I9" t="str">
        <f>IF(ISBLANK(Activities!H9),"rg:None","rg:{'user': '"&amp;Activities!I9&amp;"'}")</f>
        <v>rg:{'user': '4'}</v>
      </c>
      <c r="J9" t="s">
        <v>242</v>
      </c>
      <c r="K9" t="str">
        <f>IF(ISBLANK(Activities!J9),"rg:[]","rg:dataset('visibility.csv','"&amp;Activities!J9&amp;"')")</f>
        <v>rg:dataset('visibility.csv','eaoonly')</v>
      </c>
      <c r="L9" t="s">
        <v>242</v>
      </c>
      <c r="M9" t="str">
        <f t="shared" si="0"/>
        <v>rg:dataset('tasks.csv','knob-8')</v>
      </c>
    </row>
    <row r="10" spans="1:13" x14ac:dyDescent="0.35">
      <c r="A10" t="str">
        <f>IF(ISBLANK(Activities!A10),"-",Activities!A10)</f>
        <v>knob</v>
      </c>
      <c r="B10">
        <f>VLOOKUP(C10,ActTasks!D:F,3,FALSE)</f>
        <v>9</v>
      </c>
      <c r="C10" t="str">
        <f>Activities!B10</f>
        <v>Confirm Working Group Participation</v>
      </c>
      <c r="D10" t="str">
        <f>Activities!C10</f>
        <v>Confirm Working Group Participation</v>
      </c>
      <c r="E10" t="str">
        <f ca="1">IF(ISBLANK(Activities!D10),"rg:None",TEXT(Activities!D10,"YYYY-MM-DDTHH:mm:SS.000Z"))</f>
        <v>2014-08-28T00:00:00.000Z</v>
      </c>
      <c r="F10" t="str">
        <f ca="1">IF(ISBLANK(Activities!E10),"rg:None",TEXT(Activities!$D10+Activities!E10,"YYYY-MM-DDTHH:mm:SS.000Z"))</f>
        <v>2014-09-12T00:00:00.000Z</v>
      </c>
      <c r="G10" t="str">
        <f ca="1">IF(ISBLANK(Activities!F10),"rg:None",TEXT(Activities!$D10+Activities!F10,"YYYY-MM-DDTHH:mm:SS.000Z"))</f>
        <v>2014-09-12T00:00:00.000Z</v>
      </c>
      <c r="H10" t="str">
        <f>IF(ISBLANK(Activities!G10),"rg:None",LOWER(Activities!G10))</f>
        <v>complete</v>
      </c>
      <c r="I10" t="str">
        <f>IF(ISBLANK(Activities!H10),"rg:None","rg:{'user': '"&amp;Activities!I10&amp;"'}")</f>
        <v>rg:{'user': '4'}</v>
      </c>
      <c r="J10" t="s">
        <v>242</v>
      </c>
      <c r="K10" t="str">
        <f>IF(ISBLANK(Activities!J10),"rg:[]","rg:dataset('visibility.csv','"&amp;Activities!J10&amp;"')")</f>
        <v>rg:dataset('visibility.csv','eaoonly')</v>
      </c>
      <c r="L10" t="s">
        <v>242</v>
      </c>
      <c r="M10" t="str">
        <f t="shared" si="0"/>
        <v>rg:dataset('tasks.csv','knob-9')</v>
      </c>
    </row>
    <row r="11" spans="1:13" x14ac:dyDescent="0.35">
      <c r="A11" t="str">
        <f>IF(ISBLANK(Activities!A11),"-",Activities!A11)</f>
        <v>knob</v>
      </c>
      <c r="B11">
        <f>VLOOKUP(C11,ActTasks!D:F,3,FALSE)</f>
        <v>10</v>
      </c>
      <c r="C11" t="str">
        <f>Activities!B11</f>
        <v>Create Draft AIR</v>
      </c>
      <c r="D11" t="str">
        <f>Activities!C11</f>
        <v>Create Draft AIR</v>
      </c>
      <c r="E11" t="str">
        <f ca="1">IF(ISBLANK(Activities!D11),"rg:None",TEXT(Activities!D11,"YYYY-MM-DDTHH:mm:SS.000Z"))</f>
        <v>2014-08-28T00:00:00.000Z</v>
      </c>
      <c r="F11" t="str">
        <f ca="1">IF(ISBLANK(Activities!E11),"rg:None",TEXT(Activities!$D11+Activities!E11,"YYYY-MM-DDTHH:mm:SS.000Z"))</f>
        <v>2014-10-01T00:00:00.000Z</v>
      </c>
      <c r="G11" t="str">
        <f ca="1">IF(ISBLANK(Activities!F11),"rg:None",TEXT(Activities!$D11+Activities!F11,"YYYY-MM-DDTHH:mm:SS.000Z"))</f>
        <v>2014-10-01T00:00:00.000Z</v>
      </c>
      <c r="H11" t="str">
        <f>IF(ISBLANK(Activities!G11),"rg:None",LOWER(Activities!G11))</f>
        <v>complete</v>
      </c>
      <c r="I11" t="str">
        <f>IF(ISBLANK(Activities!H11),"rg:None","rg:{'user': '"&amp;Activities!I11&amp;"'}")</f>
        <v>rg:{'user': '4'}</v>
      </c>
      <c r="J11" t="s">
        <v>242</v>
      </c>
      <c r="K11" t="str">
        <f>IF(ISBLANK(Activities!J11),"rg:[]","rg:dataset('visibility.csv','"&amp;Activities!J11&amp;"')")</f>
        <v>rg:dataset('visibility.csv','proponly')</v>
      </c>
      <c r="L11" t="s">
        <v>242</v>
      </c>
      <c r="M11" t="str">
        <f t="shared" si="0"/>
        <v>rg:dataset('tasks.csv','knob-10')</v>
      </c>
    </row>
    <row r="12" spans="1:13" x14ac:dyDescent="0.35">
      <c r="A12" t="str">
        <f>IF(ISBLANK(Activities!A12),"-",Activities!A12)</f>
        <v>knob</v>
      </c>
      <c r="B12">
        <f>VLOOKUP(C12,ActTasks!D:F,3,FALSE)</f>
        <v>11</v>
      </c>
      <c r="C12" t="str">
        <f>Activities!B12</f>
        <v>Create AIR</v>
      </c>
      <c r="D12" t="str">
        <f>Activities!C12</f>
        <v>Create AIR</v>
      </c>
      <c r="E12" t="str">
        <f ca="1">IF(ISBLANK(Activities!D12),"rg:None",TEXT(Activities!D12,"YYYY-MM-DDTHH:mm:SS.000Z"))</f>
        <v>2014-10-01T00:00:00.000Z</v>
      </c>
      <c r="F12" t="str">
        <f ca="1">IF(ISBLANK(Activities!E12),"rg:None",TEXT(Activities!$D12+Activities!E12,"YYYY-MM-DDTHH:mm:SS.000Z"))</f>
        <v>2014-12-07T00:00:00.000Z</v>
      </c>
      <c r="G12" t="str">
        <f ca="1">IF(ISBLANK(Activities!F12),"rg:None",TEXT(Activities!$D12+Activities!F12,"YYYY-MM-DDTHH:mm:SS.000Z"))</f>
        <v>2014-12-07T00:00:00.000Z</v>
      </c>
      <c r="H12" t="str">
        <f>IF(ISBLANK(Activities!G12),"rg:None",LOWER(Activities!G12))</f>
        <v>complete</v>
      </c>
      <c r="I12" t="str">
        <f>IF(ISBLANK(Activities!H12),"rg:None","rg:{'user': '"&amp;Activities!I12&amp;"'}")</f>
        <v>rg:{'user': '2'}</v>
      </c>
      <c r="J12" t="s">
        <v>242</v>
      </c>
      <c r="K12" t="str">
        <f>IF(ISBLANK(Activities!J12),"rg:[]","rg:dataset('visibility.csv','"&amp;Activities!J12&amp;"')")</f>
        <v>rg:dataset('visibility.csv','proponly')</v>
      </c>
      <c r="L12" t="s">
        <v>242</v>
      </c>
      <c r="M12" t="str">
        <f t="shared" si="0"/>
        <v>rg:dataset('tasks.csv','knob-11')</v>
      </c>
    </row>
    <row r="13" spans="1:13" x14ac:dyDescent="0.35">
      <c r="A13" t="str">
        <f>IF(ISBLANK(Activities!A13),"-",Activities!A13)</f>
        <v>knob</v>
      </c>
      <c r="B13">
        <f>VLOOKUP(C13,ActTasks!D:F,3,FALSE)</f>
        <v>12</v>
      </c>
      <c r="C13" t="str">
        <f>Activities!B13</f>
        <v xml:space="preserve">Create Application </v>
      </c>
      <c r="D13" t="str">
        <f>Activities!C13</f>
        <v xml:space="preserve">Create Application </v>
      </c>
      <c r="E13" t="str">
        <f ca="1">IF(ISBLANK(Activities!D13),"rg:None",TEXT(Activities!D13,"YYYY-MM-DDTHH:mm:SS.000Z"))</f>
        <v>2014-12-07T00:00:00.000Z</v>
      </c>
      <c r="F13" t="str">
        <f ca="1">IF(ISBLANK(Activities!E13),"rg:None",TEXT(Activities!$D13+Activities!E13,"YYYY-MM-DDTHH:mm:SS.000Z"))</f>
        <v>2016-02-03T00:00:00.000Z</v>
      </c>
      <c r="G13" t="str">
        <f ca="1">IF(ISBLANK(Activities!F13),"rg:None",TEXT(Activities!$D13+Activities!F13,"YYYY-MM-DDTHH:mm:SS.000Z"))</f>
        <v>2016-02-03T00:00:00.000Z</v>
      </c>
      <c r="H13" t="str">
        <f>IF(ISBLANK(Activities!G13),"rg:None",LOWER(Activities!G13))</f>
        <v>complete</v>
      </c>
      <c r="I13" t="str">
        <f>IF(ISBLANK(Activities!H13),"rg:None","rg:{'user': '"&amp;Activities!I13&amp;"'}")</f>
        <v>rg:{'user': '2'}</v>
      </c>
      <c r="J13" t="s">
        <v>242</v>
      </c>
      <c r="K13" t="str">
        <f>IF(ISBLANK(Activities!J13),"rg:[]","rg:dataset('visibility.csv','"&amp;Activities!J13&amp;"')")</f>
        <v>rg:dataset('visibility.csv','proponly')</v>
      </c>
      <c r="L13" t="s">
        <v>242</v>
      </c>
      <c r="M13" t="str">
        <f t="shared" si="0"/>
        <v>rg:dataset('tasks.csv','knob-12')</v>
      </c>
    </row>
    <row r="14" spans="1:13" x14ac:dyDescent="0.35">
      <c r="A14" t="str">
        <f>IF(ISBLANK(Activities!A14),"-",Activities!A14)</f>
        <v>knob</v>
      </c>
      <c r="B14">
        <f>VLOOKUP(C14,ActTasks!D:F,3,FALSE)</f>
        <v>13</v>
      </c>
      <c r="C14" t="str">
        <f>Activities!B14</f>
        <v>Create Table of Concordance</v>
      </c>
      <c r="D14" t="str">
        <f>Activities!C14</f>
        <v>Create Table of Concordance</v>
      </c>
      <c r="E14" t="str">
        <f ca="1">IF(ISBLANK(Activities!D14),"rg:None",TEXT(Activities!D14,"YYYY-MM-DDTHH:mm:SS.000Z"))</f>
        <v>2016-02-03T00:00:00.000Z</v>
      </c>
      <c r="F14" t="str">
        <f ca="1">IF(ISBLANK(Activities!E14),"rg:None",TEXT(Activities!$D14+Activities!E14,"YYYY-MM-DDTHH:mm:SS.000Z"))</f>
        <v>2016-03-02T00:00:00.000Z</v>
      </c>
      <c r="G14" t="str">
        <f ca="1">IF(ISBLANK(Activities!F14),"rg:None",TEXT(Activities!$D14+Activities!F14,"YYYY-MM-DDTHH:mm:SS.000Z"))</f>
        <v>2016-03-02T00:00:00.000Z</v>
      </c>
      <c r="H14" t="str">
        <f>IF(ISBLANK(Activities!G14),"rg:None",LOWER(Activities!G14))</f>
        <v>complete</v>
      </c>
      <c r="I14" t="str">
        <f>IF(ISBLANK(Activities!H14),"rg:None","rg:{'user': '"&amp;Activities!I14&amp;"'}")</f>
        <v>rg:{'user': '4'}</v>
      </c>
      <c r="J14" t="s">
        <v>242</v>
      </c>
      <c r="K14" t="str">
        <f>IF(ISBLANK(Activities!J14),"rg:[]","rg:dataset('visibility.csv','"&amp;Activities!J14&amp;"')")</f>
        <v>rg:dataset('visibility.csv','eaoonly')</v>
      </c>
      <c r="L14" t="s">
        <v>242</v>
      </c>
      <c r="M14" t="str">
        <f t="shared" si="0"/>
        <v>rg:dataset('tasks.csv','knob-13')</v>
      </c>
    </row>
    <row r="15" spans="1:13" x14ac:dyDescent="0.35">
      <c r="A15" t="str">
        <f>IF(ISBLANK(Activities!A15),"-",Activities!A15)</f>
        <v>knob</v>
      </c>
      <c r="B15">
        <f>VLOOKUP(C15,ActTasks!D:F,3,FALSE)</f>
        <v>14</v>
      </c>
      <c r="C15" t="str">
        <f>Activities!B15</f>
        <v>Pre-Application Wrap-Up</v>
      </c>
      <c r="D15" t="str">
        <f>Activities!C15</f>
        <v>Pre-Application Wrap-Up</v>
      </c>
      <c r="E15" t="str">
        <f ca="1">IF(ISBLANK(Activities!D15),"rg:None",TEXT(Activities!D15,"YYYY-MM-DDTHH:mm:SS.000Z"))</f>
        <v>2016-03-02T00:00:00.000Z</v>
      </c>
      <c r="F15" t="str">
        <f ca="1">IF(ISBLANK(Activities!E15),"rg:None",TEXT(Activities!$D15+Activities!E15,"YYYY-MM-DDTHH:mm:SS.000Z"))</f>
        <v>2016-03-07T00:00:00.000Z</v>
      </c>
      <c r="G15" t="str">
        <f ca="1">IF(ISBLANK(Activities!F15),"rg:None",TEXT(Activities!$D15+Activities!F15,"YYYY-MM-DDTHH:mm:SS.000Z"))</f>
        <v>2016-03-07T00:00:00.000Z</v>
      </c>
      <c r="H15" t="str">
        <f>IF(ISBLANK(Activities!G15),"rg:None",LOWER(Activities!G15))</f>
        <v>complete</v>
      </c>
      <c r="I15" t="str">
        <f>IF(ISBLANK(Activities!H15),"rg:None","rg:{'user': '"&amp;Activities!I15&amp;"'}")</f>
        <v>rg:{'user': '4'}</v>
      </c>
      <c r="J15" t="s">
        <v>242</v>
      </c>
      <c r="K15" t="str">
        <f>IF(ISBLANK(Activities!J15),"rg:[]","rg:dataset('visibility.csv','"&amp;Activities!J15&amp;"')")</f>
        <v>rg:dataset('visibility.csv','eaoprop')</v>
      </c>
      <c r="L15" t="s">
        <v>242</v>
      </c>
      <c r="M15" t="str">
        <f t="shared" si="0"/>
        <v>rg:dataset('tasks.csv','knob-14')</v>
      </c>
    </row>
    <row r="16" spans="1:13" x14ac:dyDescent="0.35">
      <c r="A16" t="str">
        <f>IF(ISBLANK(Activities!A16),"-",Activities!A16)</f>
        <v>knob</v>
      </c>
      <c r="B16">
        <f>VLOOKUP(C16,ActTasks!D:F,3,FALSE)</f>
        <v>15</v>
      </c>
      <c r="C16" t="str">
        <f>Activities!B16</f>
        <v>Initate Evaluation Period</v>
      </c>
      <c r="D16" t="str">
        <f>Activities!C16</f>
        <v>Initate Evaluation Period</v>
      </c>
      <c r="E16" t="str">
        <f ca="1">IF(ISBLANK(Activities!D16),"rg:None",TEXT(Activities!D16,"YYYY-MM-DDTHH:mm:SS.000Z"))</f>
        <v>2016-03-07T00:00:00.000Z</v>
      </c>
      <c r="F16" t="str">
        <f>IF(ISBLANK(Activities!E16),"rg:None",TEXT(Activities!$D16+Activities!E16,"YYYY-MM-DDTHH:mm:SS.000Z"))</f>
        <v>rg:None</v>
      </c>
      <c r="G16" t="str">
        <f ca="1">IF(ISBLANK(Activities!F16),"rg:None",TEXT(Activities!$D16+Activities!F16,"YYYY-MM-DDTHH:mm:SS.000Z"))</f>
        <v>2016-03-12T00:00:00.000Z</v>
      </c>
      <c r="H16" t="str">
        <f>IF(ISBLANK(Activities!G16),"rg:None",LOWER(Activities!G16))</f>
        <v>open</v>
      </c>
      <c r="I16" t="str">
        <f>IF(ISBLANK(Activities!H16),"rg:None","rg:{'user': '"&amp;Activities!I16&amp;"'}")</f>
        <v>rg:{'user': '4'}</v>
      </c>
      <c r="J16" t="s">
        <v>242</v>
      </c>
      <c r="K16" t="str">
        <f>IF(ISBLANK(Activities!J16),"rg:[]","rg:dataset('visibility.csv','"&amp;Activities!J16&amp;"')")</f>
        <v>rg:dataset('visibility.csv','all')</v>
      </c>
      <c r="L16" t="s">
        <v>242</v>
      </c>
      <c r="M16" t="str">
        <f t="shared" si="0"/>
        <v>rg:dataset('tasks.csv','knob-15')</v>
      </c>
    </row>
    <row r="17" spans="1:13" x14ac:dyDescent="0.35">
      <c r="A17" t="str">
        <f>IF(ISBLANK(Activities!A17),"-",Activities!A17)</f>
        <v>knob</v>
      </c>
      <c r="B17">
        <f>VLOOKUP(C17,ActTasks!D:F,3,FALSE)</f>
        <v>16</v>
      </c>
      <c r="C17" t="str">
        <f>Activities!B17</f>
        <v>Evaluation Wrap-up</v>
      </c>
      <c r="D17" t="str">
        <f>Activities!C17</f>
        <v>Evaluation Wrap-up</v>
      </c>
      <c r="E17" t="str">
        <f>IF(ISBLANK(Activities!D17),"rg:None",TEXT(Activities!D17,"YYYY-MM-DDTHH:mm:SS.000Z"))</f>
        <v>rg:None</v>
      </c>
      <c r="F17" t="str">
        <f>IF(ISBLANK(Activities!E17),"rg:None",TEXT(Activities!$D17+Activities!E17,"YYYY-MM-DDTHH:mm:SS.000Z"))</f>
        <v>rg:None</v>
      </c>
      <c r="G17" t="str">
        <f>IF(ISBLANK(Activities!F17),"rg:None",TEXT(Activities!$D17+Activities!F17,"YYYY-MM-DDTHH:mm:SS.000Z"))</f>
        <v>rg:None</v>
      </c>
      <c r="H17" t="str">
        <f>IF(ISBLANK(Activities!G17),"rg:None",LOWER(Activities!G17))</f>
        <v>rg:None</v>
      </c>
      <c r="I17" t="str">
        <f>IF(ISBLANK(Activities!H17),"rg:None","rg:{'user': '"&amp;Activities!I17&amp;"'}")</f>
        <v>rg:None</v>
      </c>
      <c r="J17" t="s">
        <v>242</v>
      </c>
      <c r="K17" t="str">
        <f>IF(ISBLANK(Activities!J17),"rg:[]","rg:dataset('visibility.csv','"&amp;Activities!J17&amp;"')")</f>
        <v>rg:[]</v>
      </c>
      <c r="L17" t="s">
        <v>242</v>
      </c>
      <c r="M17" t="str">
        <f t="shared" si="0"/>
        <v>rg:dataset('tasks.csv','knob-16')</v>
      </c>
    </row>
    <row r="18" spans="1:13" x14ac:dyDescent="0.35">
      <c r="A18" t="str">
        <f>IF(ISBLANK(Activities!A18),"-",Activities!A18)</f>
        <v>knob</v>
      </c>
      <c r="B18">
        <f>VLOOKUP(C18,ActTasks!D:F,3,FALSE)</f>
        <v>17</v>
      </c>
      <c r="C18" t="str">
        <f>Activities!B18</f>
        <v>Initate Review Period</v>
      </c>
      <c r="D18" t="str">
        <f>Activities!C18</f>
        <v>Initate Review Period</v>
      </c>
      <c r="E18" t="str">
        <f>IF(ISBLANK(Activities!D18),"rg:None",TEXT(Activities!D18,"YYYY-MM-DDTHH:mm:SS.000Z"))</f>
        <v>rg:None</v>
      </c>
      <c r="F18" t="str">
        <f>IF(ISBLANK(Activities!E18),"rg:None",TEXT(Activities!$D18+Activities!E18,"YYYY-MM-DDTHH:mm:SS.000Z"))</f>
        <v>rg:None</v>
      </c>
      <c r="G18" t="str">
        <f>IF(ISBLANK(Activities!F18),"rg:None",TEXT(Activities!$D18+Activities!F18,"YYYY-MM-DDTHH:mm:SS.000Z"))</f>
        <v>rg:None</v>
      </c>
      <c r="H18" t="str">
        <f>IF(ISBLANK(Activities!G18),"rg:None",LOWER(Activities!G18))</f>
        <v>rg:None</v>
      </c>
      <c r="I18" t="str">
        <f>IF(ISBLANK(Activities!H18),"rg:None","rg:{'user': '"&amp;Activities!I18&amp;"'}")</f>
        <v>rg:None</v>
      </c>
      <c r="J18" t="s">
        <v>242</v>
      </c>
      <c r="K18" t="str">
        <f>IF(ISBLANK(Activities!J18),"rg:[]","rg:dataset('visibility.csv','"&amp;Activities!J18&amp;"')")</f>
        <v>rg:[]</v>
      </c>
      <c r="L18" t="s">
        <v>242</v>
      </c>
      <c r="M18" t="str">
        <f t="shared" si="0"/>
        <v>rg:dataset('tasks.csv','knob-17')</v>
      </c>
    </row>
    <row r="19" spans="1:13" x14ac:dyDescent="0.35">
      <c r="A19" t="str">
        <f>IF(ISBLANK(Activities!A19),"-",Activities!A19)</f>
        <v>knob</v>
      </c>
      <c r="B19">
        <f>VLOOKUP(C19,ActTasks!D:F,3,FALSE)</f>
        <v>18</v>
      </c>
      <c r="C19" t="str">
        <f>Activities!B19</f>
        <v>Public Comment Period</v>
      </c>
      <c r="D19" t="str">
        <f>Activities!C19</f>
        <v>Public Comment Period</v>
      </c>
      <c r="E19" t="str">
        <f>IF(ISBLANK(Activities!D19),"rg:None",TEXT(Activities!D19,"YYYY-MM-DDTHH:mm:SS.000Z"))</f>
        <v>rg:None</v>
      </c>
      <c r="F19" t="str">
        <f>IF(ISBLANK(Activities!E19),"rg:None",TEXT(Activities!$D19+Activities!E19,"YYYY-MM-DDTHH:mm:SS.000Z"))</f>
        <v>rg:None</v>
      </c>
      <c r="G19" t="str">
        <f>IF(ISBLANK(Activities!F19),"rg:None",TEXT(Activities!$D19+Activities!F19,"YYYY-MM-DDTHH:mm:SS.000Z"))</f>
        <v>rg:None</v>
      </c>
      <c r="H19" t="str">
        <f>IF(ISBLANK(Activities!G19),"rg:None",LOWER(Activities!G19))</f>
        <v>rg:None</v>
      </c>
      <c r="I19" t="str">
        <f>IF(ISBLANK(Activities!H19),"rg:None","rg:{'user': '"&amp;Activities!I19&amp;"'}")</f>
        <v>rg:None</v>
      </c>
      <c r="J19" t="s">
        <v>242</v>
      </c>
      <c r="K19" t="str">
        <f>IF(ISBLANK(Activities!J19),"rg:[]","rg:dataset('visibility.csv','"&amp;Activities!J19&amp;"')")</f>
        <v>rg:[]</v>
      </c>
      <c r="L19" t="s">
        <v>242</v>
      </c>
      <c r="M19" t="str">
        <f t="shared" si="0"/>
        <v>rg:dataset('tasks.csv','knob-18')</v>
      </c>
    </row>
    <row r="20" spans="1:13" x14ac:dyDescent="0.35">
      <c r="A20" t="str">
        <f>IF(ISBLANK(Activities!A20),"-",Activities!A20)</f>
        <v>-</v>
      </c>
      <c r="B20" t="e">
        <f>VLOOKUP(C20,ActTasks!D:F,3,FALSE)</f>
        <v>#N/A</v>
      </c>
      <c r="C20">
        <f>Activities!B20</f>
        <v>0</v>
      </c>
      <c r="D20">
        <f>Activities!C20</f>
        <v>0</v>
      </c>
      <c r="E20" t="str">
        <f>IF(ISBLANK(Activities!D20),"rg:None",TEXT(Activities!D20,"YYYY-MM-DDTHH:mm:SS.000Z"))</f>
        <v>rg:None</v>
      </c>
      <c r="F20" t="str">
        <f>IF(ISBLANK(Activities!E20),"rg:None",TEXT(Activities!$D20+Activities!E20,"YYYY-MM-DDTHH:mm:SS.000Z"))</f>
        <v>rg:None</v>
      </c>
      <c r="G20" t="str">
        <f>IF(ISBLANK(Activities!F20),"rg:None",TEXT(Activities!$D20+Activities!F20,"YYYY-MM-DDTHH:mm:SS.000Z"))</f>
        <v>rg:None</v>
      </c>
      <c r="H20" t="str">
        <f>IF(ISBLANK(Activities!G20),"rg:None",LOWER(Activities!G20))</f>
        <v>rg:None</v>
      </c>
      <c r="I20" t="str">
        <f>IF(ISBLANK(Activities!H20),"rg:None","rg:{'user': '"&amp;Activities!I20&amp;"'}")</f>
        <v>rg:None</v>
      </c>
      <c r="J20" t="s">
        <v>242</v>
      </c>
      <c r="K20" t="str">
        <f>IF(ISBLANK(Activities!J20),"rg:[]","rg:dataset('visibility.csv','"&amp;Activities!J20&amp;"')")</f>
        <v>rg:[]</v>
      </c>
      <c r="L20" t="s">
        <v>242</v>
      </c>
      <c r="M20" t="e">
        <f t="shared" si="0"/>
        <v>#N/A</v>
      </c>
    </row>
    <row r="21" spans="1:13" x14ac:dyDescent="0.35">
      <c r="A21" t="str">
        <f>IF(ISBLANK(Activities!A21),"-",Activities!A21)</f>
        <v>-</v>
      </c>
      <c r="B21" t="e">
        <f>VLOOKUP(C21,ActTasks!D:F,3,FALSE)</f>
        <v>#N/A</v>
      </c>
      <c r="C21">
        <f>Activities!B21</f>
        <v>0</v>
      </c>
      <c r="D21">
        <f>Activities!C21</f>
        <v>0</v>
      </c>
      <c r="E21" t="str">
        <f>IF(ISBLANK(Activities!D21),"rg:None",TEXT(Activities!D21,"YYYY-MM-DDTHH:mm:SS.000Z"))</f>
        <v>rg:None</v>
      </c>
      <c r="F21" t="str">
        <f>IF(ISBLANK(Activities!E21),"rg:None",TEXT(Activities!$D21+Activities!E21,"YYYY-MM-DDTHH:mm:SS.000Z"))</f>
        <v>rg:None</v>
      </c>
      <c r="G21" t="str">
        <f>IF(ISBLANK(Activities!F21),"rg:None",TEXT(Activities!$D21+Activities!F21,"YYYY-MM-DDTHH:mm:SS.000Z"))</f>
        <v>rg:None</v>
      </c>
      <c r="H21" t="str">
        <f>IF(ISBLANK(Activities!G21),"rg:None",LOWER(Activities!G21))</f>
        <v>rg:None</v>
      </c>
      <c r="I21" t="str">
        <f>IF(ISBLANK(Activities!H21),"rg:None","rg:{'user': '"&amp;Activities!I21&amp;"'}")</f>
        <v>rg:None</v>
      </c>
      <c r="J21" t="s">
        <v>242</v>
      </c>
      <c r="K21" t="str">
        <f>IF(ISBLANK(Activities!J21),"rg:[]","rg:dataset('visibility.csv','"&amp;Activities!J21&amp;"')")</f>
        <v>rg:[]</v>
      </c>
      <c r="L21" t="s">
        <v>242</v>
      </c>
      <c r="M21" t="e">
        <f t="shared" si="0"/>
        <v>#N/A</v>
      </c>
    </row>
    <row r="22" spans="1:13" x14ac:dyDescent="0.35">
      <c r="A22" t="str">
        <f>IF(ISBLANK(Activities!A22),"-",Activities!A22)</f>
        <v>-</v>
      </c>
      <c r="B22" t="e">
        <f>VLOOKUP(C22,ActTasks!D:F,3,FALSE)</f>
        <v>#N/A</v>
      </c>
      <c r="C22">
        <f>Activities!B22</f>
        <v>0</v>
      </c>
      <c r="D22">
        <f>Activities!C22</f>
        <v>0</v>
      </c>
      <c r="E22" t="str">
        <f>IF(ISBLANK(Activities!D22),"rg:None",TEXT(Activities!D22,"YYYY-MM-DDTHH:mm:SS.000Z"))</f>
        <v>rg:None</v>
      </c>
      <c r="F22" t="str">
        <f>IF(ISBLANK(Activities!E22),"rg:None",TEXT(Activities!$D22+Activities!E22,"YYYY-MM-DDTHH:mm:SS.000Z"))</f>
        <v>rg:None</v>
      </c>
      <c r="G22" t="str">
        <f>IF(ISBLANK(Activities!F22),"rg:None",TEXT(Activities!$D22+Activities!F22,"YYYY-MM-DDTHH:mm:SS.000Z"))</f>
        <v>rg:None</v>
      </c>
      <c r="H22" t="str">
        <f>IF(ISBLANK(Activities!G22),"rg:None",LOWER(Activities!G22))</f>
        <v>rg:None</v>
      </c>
      <c r="I22" t="str">
        <f>IF(ISBLANK(Activities!H22),"rg:None","rg:{'user': '"&amp;Activities!I22&amp;"'}")</f>
        <v>rg:None</v>
      </c>
      <c r="J22" t="s">
        <v>242</v>
      </c>
      <c r="K22" t="str">
        <f>IF(ISBLANK(Activities!J22),"rg:[]","rg:dataset('visibility.csv','"&amp;Activities!J22&amp;"')")</f>
        <v>rg:[]</v>
      </c>
      <c r="L22" t="s">
        <v>242</v>
      </c>
      <c r="M22" t="e">
        <f t="shared" si="0"/>
        <v>#N/A</v>
      </c>
    </row>
    <row r="23" spans="1:13" x14ac:dyDescent="0.35">
      <c r="A23" t="str">
        <f>IF(ISBLANK(Activities!A23),"-",Activities!A23)</f>
        <v>-</v>
      </c>
      <c r="B23" t="e">
        <f>VLOOKUP(C23,ActTasks!D:F,3,FALSE)</f>
        <v>#N/A</v>
      </c>
      <c r="C23">
        <f>Activities!B23</f>
        <v>0</v>
      </c>
      <c r="D23">
        <f>Activities!C23</f>
        <v>0</v>
      </c>
      <c r="E23" t="str">
        <f>IF(ISBLANK(Activities!D23),"rg:None",TEXT(Activities!D23,"YYYY-MM-DDTHH:mm:SS.000Z"))</f>
        <v>rg:None</v>
      </c>
      <c r="F23" t="str">
        <f>IF(ISBLANK(Activities!E23),"rg:None",TEXT(Activities!$D23+Activities!E23,"YYYY-MM-DDTHH:mm:SS.000Z"))</f>
        <v>rg:None</v>
      </c>
      <c r="G23" t="str">
        <f>IF(ISBLANK(Activities!F23),"rg:None",TEXT(Activities!$D23+Activities!F23,"YYYY-MM-DDTHH:mm:SS.000Z"))</f>
        <v>rg:None</v>
      </c>
      <c r="H23" t="str">
        <f>IF(ISBLANK(Activities!G23),"rg:None",LOWER(Activities!G23))</f>
        <v>rg:None</v>
      </c>
      <c r="I23" t="str">
        <f>IF(ISBLANK(Activities!H23),"rg:None","rg:{'user': '"&amp;Activities!I23&amp;"'}")</f>
        <v>rg:None</v>
      </c>
      <c r="J23" t="s">
        <v>242</v>
      </c>
      <c r="K23" t="str">
        <f>IF(ISBLANK(Activities!J23),"rg:[]","rg:dataset('visibility.csv','"&amp;Activities!J23&amp;"')")</f>
        <v>rg:[]</v>
      </c>
      <c r="L23" t="s">
        <v>242</v>
      </c>
      <c r="M23" t="e">
        <f t="shared" si="0"/>
        <v>#N/A</v>
      </c>
    </row>
    <row r="24" spans="1:13" x14ac:dyDescent="0.35">
      <c r="A24" t="str">
        <f>IF(ISBLANK(Activities!A24),"-",Activities!A24)</f>
        <v>-</v>
      </c>
      <c r="B24" t="e">
        <f>VLOOKUP(C24,ActTasks!D:F,3,FALSE)</f>
        <v>#N/A</v>
      </c>
      <c r="C24">
        <f>Activities!B24</f>
        <v>0</v>
      </c>
      <c r="D24">
        <f>Activities!C24</f>
        <v>0</v>
      </c>
      <c r="E24" t="str">
        <f>IF(ISBLANK(Activities!D24),"rg:None",TEXT(Activities!D24,"YYYY-MM-DDTHH:mm:SS.000Z"))</f>
        <v>rg:None</v>
      </c>
      <c r="F24" t="str">
        <f>IF(ISBLANK(Activities!E24),"rg:None",TEXT(Activities!$D24+Activities!E24,"YYYY-MM-DDTHH:mm:SS.000Z"))</f>
        <v>rg:None</v>
      </c>
      <c r="G24" t="str">
        <f>IF(ISBLANK(Activities!F24),"rg:None",TEXT(Activities!$D24+Activities!F24,"YYYY-MM-DDTHH:mm:SS.000Z"))</f>
        <v>rg:None</v>
      </c>
      <c r="H24" t="str">
        <f>IF(ISBLANK(Activities!G24),"rg:None",LOWER(Activities!G24))</f>
        <v>rg:None</v>
      </c>
      <c r="I24" t="str">
        <f>IF(ISBLANK(Activities!H24),"rg:None","rg:{'user': '"&amp;Activities!I24&amp;"'}")</f>
        <v>rg:None</v>
      </c>
      <c r="J24" t="s">
        <v>242</v>
      </c>
      <c r="K24" t="str">
        <f>IF(ISBLANK(Activities!J24),"rg:[]","rg:dataset('visibility.csv','"&amp;Activities!J24&amp;"')")</f>
        <v>rg:[]</v>
      </c>
      <c r="L24" t="s">
        <v>242</v>
      </c>
      <c r="M24" t="e">
        <f t="shared" si="0"/>
        <v>#N/A</v>
      </c>
    </row>
    <row r="25" spans="1:13" x14ac:dyDescent="0.35">
      <c r="A25" t="str">
        <f>IF(ISBLANK(Activities!A25),"-",Activities!A25)</f>
        <v>-</v>
      </c>
      <c r="B25" t="e">
        <f>VLOOKUP(C25,ActTasks!D:F,3,FALSE)</f>
        <v>#N/A</v>
      </c>
      <c r="C25">
        <f>Activities!B25</f>
        <v>0</v>
      </c>
      <c r="D25">
        <f>Activities!C25</f>
        <v>0</v>
      </c>
      <c r="E25" t="str">
        <f>IF(ISBLANK(Activities!D25),"rg:None",TEXT(Activities!D25,"YYYY-MM-DDTHH:mm:SS.000Z"))</f>
        <v>rg:None</v>
      </c>
      <c r="F25" t="str">
        <f>IF(ISBLANK(Activities!E25),"rg:None",TEXT(Activities!$D25+Activities!E25,"YYYY-MM-DDTHH:mm:SS.000Z"))</f>
        <v>rg:None</v>
      </c>
      <c r="G25" t="str">
        <f>IF(ISBLANK(Activities!F25),"rg:None",TEXT(Activities!$D25+Activities!F25,"YYYY-MM-DDTHH:mm:SS.000Z"))</f>
        <v>rg:None</v>
      </c>
      <c r="H25" t="str">
        <f>IF(ISBLANK(Activities!G25),"rg:None",LOWER(Activities!G25))</f>
        <v>rg:None</v>
      </c>
      <c r="I25" t="str">
        <f>IF(ISBLANK(Activities!H25),"rg:None","rg:{'user': '"&amp;Activities!I25&amp;"'}")</f>
        <v>rg:None</v>
      </c>
      <c r="J25" t="s">
        <v>242</v>
      </c>
      <c r="K25" t="str">
        <f>IF(ISBLANK(Activities!J25),"rg:[]","rg:dataset('visibility.csv','"&amp;Activities!J25&amp;"')")</f>
        <v>rg:[]</v>
      </c>
      <c r="L25" t="s">
        <v>242</v>
      </c>
      <c r="M25" t="e">
        <f t="shared" si="0"/>
        <v>#N/A</v>
      </c>
    </row>
    <row r="26" spans="1:13" x14ac:dyDescent="0.35">
      <c r="A26" t="str">
        <f>IF(ISBLANK(Activities!A26),"-",Activities!A26)</f>
        <v>-</v>
      </c>
      <c r="B26" t="e">
        <f>VLOOKUP(C26,ActTasks!D:F,3,FALSE)</f>
        <v>#N/A</v>
      </c>
      <c r="C26">
        <f>Activities!B26</f>
        <v>0</v>
      </c>
      <c r="D26">
        <f>Activities!C26</f>
        <v>0</v>
      </c>
      <c r="E26" t="str">
        <f>IF(ISBLANK(Activities!D26),"rg:None",TEXT(Activities!D26,"YYYY-MM-DDTHH:mm:SS.000Z"))</f>
        <v>rg:None</v>
      </c>
      <c r="F26" t="str">
        <f>IF(ISBLANK(Activities!E26),"rg:None",TEXT(Activities!$D26+Activities!E26,"YYYY-MM-DDTHH:mm:SS.000Z"))</f>
        <v>rg:None</v>
      </c>
      <c r="G26" t="str">
        <f>IF(ISBLANK(Activities!F26),"rg:None",TEXT(Activities!$D26+Activities!F26,"YYYY-MM-DDTHH:mm:SS.000Z"))</f>
        <v>rg:None</v>
      </c>
      <c r="H26" t="str">
        <f>IF(ISBLANK(Activities!G26),"rg:None",LOWER(Activities!G26))</f>
        <v>rg:None</v>
      </c>
      <c r="I26" t="str">
        <f>IF(ISBLANK(Activities!H26),"rg:None","rg:{'user': '"&amp;Activities!I26&amp;"'}")</f>
        <v>rg:None</v>
      </c>
      <c r="J26" t="s">
        <v>242</v>
      </c>
      <c r="K26" t="str">
        <f>IF(ISBLANK(Activities!J26),"rg:[]","rg:dataset('visibility.csv','"&amp;Activities!J26&amp;"')")</f>
        <v>rg:[]</v>
      </c>
      <c r="L26" t="s">
        <v>242</v>
      </c>
      <c r="M26" t="e">
        <f t="shared" si="0"/>
        <v>#N/A</v>
      </c>
    </row>
    <row r="27" spans="1:13" x14ac:dyDescent="0.35">
      <c r="A27" t="str">
        <f>IF(ISBLANK(Activities!A27),"-",Activities!A27)</f>
        <v>-</v>
      </c>
      <c r="B27" t="e">
        <f>VLOOKUP(C27,ActTasks!D:F,3,FALSE)</f>
        <v>#N/A</v>
      </c>
      <c r="C27">
        <f>Activities!B27</f>
        <v>0</v>
      </c>
      <c r="D27">
        <f>Activities!C27</f>
        <v>0</v>
      </c>
      <c r="E27" t="str">
        <f>IF(ISBLANK(Activities!D27),"rg:None",TEXT(Activities!D27,"YYYY-MM-DDTHH:mm:SS.000Z"))</f>
        <v>rg:None</v>
      </c>
      <c r="F27" t="str">
        <f>IF(ISBLANK(Activities!E27),"rg:None",TEXT(Activities!$D27+Activities!E27,"YYYY-MM-DDTHH:mm:SS.000Z"))</f>
        <v>rg:None</v>
      </c>
      <c r="G27" t="str">
        <f>IF(ISBLANK(Activities!F27),"rg:None",TEXT(Activities!$D27+Activities!F27,"YYYY-MM-DDTHH:mm:SS.000Z"))</f>
        <v>rg:None</v>
      </c>
      <c r="H27" t="str">
        <f>IF(ISBLANK(Activities!G27),"rg:None",LOWER(Activities!G27))</f>
        <v>rg:None</v>
      </c>
      <c r="I27" t="str">
        <f>IF(ISBLANK(Activities!H27),"rg:None","rg:{'user': '"&amp;Activities!I27&amp;"'}")</f>
        <v>rg:None</v>
      </c>
      <c r="J27" t="s">
        <v>242</v>
      </c>
      <c r="K27" t="str">
        <f>IF(ISBLANK(Activities!J27),"rg:[]","rg:dataset('visibility.csv','"&amp;Activities!J27&amp;"')")</f>
        <v>rg:[]</v>
      </c>
      <c r="L27" t="s">
        <v>242</v>
      </c>
      <c r="M27" t="e">
        <f t="shared" si="0"/>
        <v>#N/A</v>
      </c>
    </row>
    <row r="28" spans="1:13" x14ac:dyDescent="0.35">
      <c r="A28" t="str">
        <f>IF(ISBLANK(Activities!A28),"-",Activities!A28)</f>
        <v>-</v>
      </c>
      <c r="B28" t="e">
        <f>VLOOKUP(C28,ActTasks!D:F,3,FALSE)</f>
        <v>#N/A</v>
      </c>
      <c r="C28">
        <f>Activities!B28</f>
        <v>0</v>
      </c>
      <c r="D28">
        <f>Activities!C28</f>
        <v>0</v>
      </c>
      <c r="E28" t="str">
        <f>IF(ISBLANK(Activities!D28),"rg:None",TEXT(Activities!D28,"YYYY-MM-DDTHH:mm:SS.000Z"))</f>
        <v>rg:None</v>
      </c>
      <c r="F28" t="str">
        <f>IF(ISBLANK(Activities!E28),"rg:None",TEXT(Activities!$D28+Activities!E28,"YYYY-MM-DDTHH:mm:SS.000Z"))</f>
        <v>rg:None</v>
      </c>
      <c r="G28" t="str">
        <f>IF(ISBLANK(Activities!F28),"rg:None",TEXT(Activities!$D28+Activities!F28,"YYYY-MM-DDTHH:mm:SS.000Z"))</f>
        <v>rg:None</v>
      </c>
      <c r="H28" t="str">
        <f>IF(ISBLANK(Activities!G28),"rg:None",LOWER(Activities!G28))</f>
        <v>rg:None</v>
      </c>
      <c r="I28" t="str">
        <f>IF(ISBLANK(Activities!H28),"rg:None","rg:{'user': '"&amp;Activities!I28&amp;"'}")</f>
        <v>rg:None</v>
      </c>
      <c r="J28" t="s">
        <v>242</v>
      </c>
      <c r="K28" t="str">
        <f>IF(ISBLANK(Activities!J28),"rg:[]","rg:dataset('visibility.csv','"&amp;Activities!J28&amp;"')")</f>
        <v>rg:[]</v>
      </c>
      <c r="L28" t="s">
        <v>242</v>
      </c>
      <c r="M28" t="e">
        <f t="shared" si="0"/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13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4" max="14" width="92.5" bestFit="1" customWidth="1"/>
  </cols>
  <sheetData>
    <row r="1" spans="1:27" x14ac:dyDescent="0.35">
      <c r="A1" t="s">
        <v>0</v>
      </c>
      <c r="B1" t="s">
        <v>1</v>
      </c>
      <c r="C1" t="s">
        <v>2</v>
      </c>
      <c r="D1" t="s">
        <v>126</v>
      </c>
      <c r="E1" t="s">
        <v>3</v>
      </c>
      <c r="F1" t="s">
        <v>4</v>
      </c>
      <c r="G1" t="s">
        <v>5</v>
      </c>
      <c r="H1" t="s">
        <v>6</v>
      </c>
      <c r="I1" t="s">
        <v>129</v>
      </c>
      <c r="J1" t="s">
        <v>27</v>
      </c>
      <c r="K1" t="s">
        <v>28</v>
      </c>
      <c r="L1" t="s">
        <v>7</v>
      </c>
      <c r="M1" t="s">
        <v>29</v>
      </c>
      <c r="N1" t="s">
        <v>125</v>
      </c>
      <c r="O1" t="s">
        <v>33</v>
      </c>
      <c r="P1" t="s">
        <v>8</v>
      </c>
      <c r="Q1" t="s">
        <v>9</v>
      </c>
      <c r="R1" t="s">
        <v>19</v>
      </c>
      <c r="S1" t="s">
        <v>15</v>
      </c>
      <c r="T1" t="s">
        <v>243</v>
      </c>
      <c r="U1" t="s">
        <v>251</v>
      </c>
      <c r="V1" t="s">
        <v>294</v>
      </c>
      <c r="W1" t="s">
        <v>295</v>
      </c>
      <c r="X1" t="s">
        <v>238</v>
      </c>
      <c r="Y1" t="s">
        <v>18</v>
      </c>
      <c r="Z1" t="s">
        <v>296</v>
      </c>
      <c r="AA1" t="s">
        <v>288</v>
      </c>
    </row>
    <row r="2" spans="1:27" x14ac:dyDescent="0.35">
      <c r="A2" t="str">
        <f>IF(ISBLANK(Project!A2),"-",Project!A2)</f>
        <v>knob</v>
      </c>
      <c r="B2">
        <f>ROW()</f>
        <v>2</v>
      </c>
      <c r="C2" t="str">
        <f>Project!B2</f>
        <v>Knob Hill Wind Farm Project</v>
      </c>
      <c r="F2" t="str">
        <f>Project!E2</f>
        <v>Construction of a new wind farm, with a nominal capacity of 70.5 MW with a preliminary layout of 47 turbines.</v>
      </c>
      <c r="G2" t="str">
        <f>Project!F2</f>
        <v>Vancouver Island/Coast</v>
      </c>
      <c r="H2" t="str">
        <f>Project!G2</f>
        <v>Knob Hil</v>
      </c>
      <c r="I2" t="str">
        <f>VLOOKUP(Project!H2,ActTasks!A:B,2,FALSE)</f>
        <v>eval</v>
      </c>
      <c r="J2" t="str">
        <f ca="1">TEXT(Project!I2,"YYYY-MM-DDTHH:mm:SS.000Z")</f>
        <v>2014-08-02T00:00:00.000Z</v>
      </c>
      <c r="K2" t="str">
        <f ca="1">TEXT(Project!I2+512,"YYYY-MM-DDTHH:mm:SS.000Z")</f>
        <v>2015-12-27T00:00:00.000Z</v>
      </c>
      <c r="M2" t="str">
        <f ca="1">TEXT(Project!I2+512,"YYYY-MM-DDTHH:mm:SS.000Z")</f>
        <v>2015-12-27T00:00:00.000Z</v>
      </c>
      <c r="N2" t="str">
        <f>"rg:{'code':'"&amp;Project!K2&amp;"', 'dateOpen': '2015-09-28T12:00:00.181Z',  'dateClosed': '2015-10-28T12:00:00.181Z' }"</f>
        <v>rg:{'code':'knobcomment', 'dateOpen': '2015-09-28T12:00:00.181Z',  'dateClosed': '2015-10-28T12:00:00.181Z' }</v>
      </c>
      <c r="O2">
        <f>Project!J2</f>
        <v>85</v>
      </c>
      <c r="P2">
        <v>50.752096999999999</v>
      </c>
      <c r="Q2">
        <v>-128.32202899999999</v>
      </c>
      <c r="R2" t="str">
        <f>"rg:dataset('intakeqa.csv', '"&amp;Project!$A2&amp;"')"</f>
        <v>rg:dataset('intakeqa.csv', 'knob')</v>
      </c>
      <c r="S2" t="str">
        <f>"rg:dataset('projphases.csv', '"&amp;Project!$A2&amp;"')"</f>
        <v>rg:dataset('projphases.csv', 'knob')</v>
      </c>
      <c r="T2" t="str">
        <f>"rg:dataset('milestones.csv', '"&amp;Project!$A2&amp;"')"</f>
        <v>rg:dataset('milestones.csv', 'knob')</v>
      </c>
      <c r="U2" t="str">
        <f>"rg:dataset('activities.csv', '"&amp;Project!$A2&amp;"')"</f>
        <v>rg:dataset('activities.csv', 'knob')</v>
      </c>
      <c r="V2" t="str">
        <f>"rg:dataset('team.csv', '"&amp;Project!$A2&amp;"')"</f>
        <v>rg:dataset('team.csv', 'knob')</v>
      </c>
      <c r="W2" t="str">
        <f>"rg:dataset('deliverables.csv', '"&amp;Project!$A2&amp;"')"</f>
        <v>rg:dataset('deliverables.csv', 'knob')</v>
      </c>
      <c r="X2" t="str">
        <f>"rg:dataset('buckets.csv', '"&amp;Project!$A2&amp;"')"</f>
        <v>rg:dataset('buckets.csv', 'knob')</v>
      </c>
      <c r="Y2" t="str">
        <f>"rg:dataset('requirements.csv', '"&amp;Project!$A2&amp;"')"</f>
        <v>rg:dataset('requirements.csv', 'knob')</v>
      </c>
      <c r="Z2" t="s">
        <v>242</v>
      </c>
      <c r="AA2" t="str">
        <f>"rg:dataset('data.csv', '"&amp;Project!$A2&amp;"')"</f>
        <v>rg:dataset('data.csv', 'knob')</v>
      </c>
    </row>
    <row r="3" spans="1:27" x14ac:dyDescent="0.35">
      <c r="A3" t="str">
        <f>IF(ISBLANK(Project!A3),"-",Project!A3)</f>
        <v>-</v>
      </c>
      <c r="B3" t="str">
        <f t="shared" ref="B3:B13" si="0">A3</f>
        <v>-</v>
      </c>
      <c r="C3">
        <f>Project!B3</f>
        <v>0</v>
      </c>
      <c r="F3">
        <f>Project!E3</f>
        <v>0</v>
      </c>
      <c r="G3">
        <f>Project!F3</f>
        <v>0</v>
      </c>
      <c r="H3">
        <f>Project!G3</f>
        <v>0</v>
      </c>
      <c r="I3" t="e">
        <f>VLOOKUP(Project!H3,ActTasks!A:B,2,FALSE)</f>
        <v>#N/A</v>
      </c>
      <c r="J3" t="str">
        <f>TEXT(Project!I3,"YYYY-MM-DDTHH:mm:SS.000Z")</f>
        <v>1900-01-00T00:00:00.000Z</v>
      </c>
      <c r="K3" t="str">
        <f>TEXT(Project!I3+512,"YYYY-MM-DDTHH:mm:SS.000Z")</f>
        <v>1901-05-26T00:00:00.000Z</v>
      </c>
      <c r="M3" t="str">
        <f>TEXT(Project!I3+512,"YYYY-MM-DDTHH:mm:SS.000Z")</f>
        <v>1901-05-26T00:00:00.000Z</v>
      </c>
      <c r="N3" t="str">
        <f>"rg:{'code':'"&amp;Project!K3&amp;"', 'dateOpen': '2015-09-28T12:00:00.181Z',  'dateClosed': '2015-10-28T12:00:00.181Z' }"</f>
        <v>rg:{'code':'', 'dateOpen': '2015-09-28T12:00:00.181Z',  'dateClosed': '2015-10-28T12:00:00.181Z' }</v>
      </c>
      <c r="O3">
        <f>Project!J3</f>
        <v>0</v>
      </c>
      <c r="P3">
        <v>50.752096999999999</v>
      </c>
      <c r="Q3">
        <v>-128.32202899999999</v>
      </c>
      <c r="R3" t="str">
        <f>"rg:dataset('intakeqa.csv', '"&amp;Project!$A3&amp;"')"</f>
        <v>rg:dataset('intakeqa.csv', '')</v>
      </c>
      <c r="S3" t="str">
        <f>"rg:dataset('projphases.csv', '"&amp;Project!$A3&amp;"')"</f>
        <v>rg:dataset('projphases.csv', '')</v>
      </c>
      <c r="T3" t="str">
        <f>"rg:dataset('milestones.csv', '"&amp;Project!$A3&amp;"')"</f>
        <v>rg:dataset('milestones.csv', '')</v>
      </c>
      <c r="U3" t="str">
        <f>"rg:dataset('activities.csv', '"&amp;Project!$A3&amp;"')"</f>
        <v>rg:dataset('activities.csv', '')</v>
      </c>
      <c r="V3" t="str">
        <f>"rg:dataset('team.csv', '"&amp;Project!$A3&amp;"')"</f>
        <v>rg:dataset('team.csv', '')</v>
      </c>
      <c r="W3" t="str">
        <f>"rg:dataset('deliverables.csv', '"&amp;Project!$A3&amp;"')"</f>
        <v>rg:dataset('deliverables.csv', '')</v>
      </c>
      <c r="X3" t="str">
        <f>"rg:dataset('buckets.csv', '"&amp;Project!$A3&amp;"')"</f>
        <v>rg:dataset('buckets.csv', '')</v>
      </c>
      <c r="Y3" t="str">
        <f>"rg:dataset('requirements.csv', '"&amp;Project!$A3&amp;"')"</f>
        <v>rg:dataset('requirements.csv', '')</v>
      </c>
      <c r="Z3" t="s">
        <v>242</v>
      </c>
      <c r="AA3" t="str">
        <f>"rg:dataset('data.csv', '"&amp;Project!$A3&amp;"')"</f>
        <v>rg:dataset('data.csv', '')</v>
      </c>
    </row>
    <row r="4" spans="1:27" x14ac:dyDescent="0.35">
      <c r="A4" t="str">
        <f>IF(ISBLANK(Project!A4),"-",Project!A4)</f>
        <v>-</v>
      </c>
      <c r="B4" t="str">
        <f t="shared" si="0"/>
        <v>-</v>
      </c>
      <c r="C4">
        <f>Project!B4</f>
        <v>0</v>
      </c>
      <c r="F4">
        <f>Project!E4</f>
        <v>0</v>
      </c>
      <c r="G4">
        <f>Project!F4</f>
        <v>0</v>
      </c>
      <c r="H4">
        <f>Project!G4</f>
        <v>0</v>
      </c>
      <c r="I4" t="e">
        <f>VLOOKUP(Project!H4,ActTasks!A:B,2,FALSE)</f>
        <v>#N/A</v>
      </c>
      <c r="J4" t="str">
        <f>TEXT(Project!I4,"YYYY-MM-DDTHH:mm:SS.000Z")</f>
        <v>1900-01-00T00:00:00.000Z</v>
      </c>
      <c r="K4" t="str">
        <f>TEXT(Project!I4+512,"YYYY-MM-DDTHH:mm:SS.000Z")</f>
        <v>1901-05-26T00:00:00.000Z</v>
      </c>
      <c r="M4" t="str">
        <f>TEXT(Project!I4+512,"YYYY-MM-DDTHH:mm:SS.000Z")</f>
        <v>1901-05-26T00:00:00.000Z</v>
      </c>
      <c r="N4" t="str">
        <f>"rg:{'code':'"&amp;Project!K4&amp;"', 'dateOpen': '2015-09-28T12:00:00.181Z',  'dateClosed': '2015-10-28T12:00:00.181Z' }"</f>
        <v>rg:{'code':'', 'dateOpen': '2015-09-28T12:00:00.181Z',  'dateClosed': '2015-10-28T12:00:00.181Z' }</v>
      </c>
      <c r="O4">
        <f>Project!J4</f>
        <v>0</v>
      </c>
      <c r="P4">
        <v>50.752096999999999</v>
      </c>
      <c r="Q4">
        <v>-128.32202899999999</v>
      </c>
      <c r="R4" t="str">
        <f>"rg:dataset('intakeqa.csv', '"&amp;Project!$A4&amp;"')"</f>
        <v>rg:dataset('intakeqa.csv', '')</v>
      </c>
      <c r="S4" t="str">
        <f>"rg:dataset('projphases.csv', '"&amp;Project!$A4&amp;"')"</f>
        <v>rg:dataset('projphases.csv', '')</v>
      </c>
      <c r="T4" t="str">
        <f>"rg:dataset('milestones.csv', '"&amp;Project!$A4&amp;"')"</f>
        <v>rg:dataset('milestones.csv', '')</v>
      </c>
      <c r="U4" t="str">
        <f>"rg:dataset('activities.csv', '"&amp;Project!$A4&amp;"')"</f>
        <v>rg:dataset('activities.csv', '')</v>
      </c>
      <c r="V4" t="str">
        <f>"rg:dataset('team.csv', '"&amp;Project!$A4&amp;"')"</f>
        <v>rg:dataset('team.csv', '')</v>
      </c>
      <c r="W4" t="str">
        <f>"rg:dataset('deliverables.csv', '"&amp;Project!$A4&amp;"')"</f>
        <v>rg:dataset('deliverables.csv', '')</v>
      </c>
      <c r="X4" t="str">
        <f>"rg:dataset('buckets.csv', '"&amp;Project!$A4&amp;"')"</f>
        <v>rg:dataset('buckets.csv', '')</v>
      </c>
      <c r="Y4" t="str">
        <f>"rg:dataset('requirements.csv', '"&amp;Project!$A4&amp;"')"</f>
        <v>rg:dataset('requirements.csv', '')</v>
      </c>
      <c r="Z4" t="s">
        <v>242</v>
      </c>
      <c r="AA4" t="str">
        <f>"rg:dataset('data.csv', '"&amp;Project!$A4&amp;"')"</f>
        <v>rg:dataset('data.csv', '')</v>
      </c>
    </row>
    <row r="5" spans="1:27" x14ac:dyDescent="0.35">
      <c r="A5" t="str">
        <f>IF(ISBLANK(Project!A5),"-",Project!A5)</f>
        <v>-</v>
      </c>
      <c r="B5" t="str">
        <f t="shared" si="0"/>
        <v>-</v>
      </c>
      <c r="C5">
        <f>Project!B5</f>
        <v>0</v>
      </c>
      <c r="F5">
        <f>Project!E5</f>
        <v>0</v>
      </c>
      <c r="G5">
        <f>Project!F5</f>
        <v>0</v>
      </c>
      <c r="H5">
        <f>Project!G5</f>
        <v>0</v>
      </c>
      <c r="I5" t="e">
        <f>VLOOKUP(Project!H5,ActTasks!A:B,2,FALSE)</f>
        <v>#N/A</v>
      </c>
      <c r="J5" t="str">
        <f>TEXT(Project!I5,"YYYY-MM-DDTHH:mm:SS.000Z")</f>
        <v>1900-01-00T00:00:00.000Z</v>
      </c>
      <c r="K5" t="str">
        <f>TEXT(Project!I5+512,"YYYY-MM-DDTHH:mm:SS.000Z")</f>
        <v>1901-05-26T00:00:00.000Z</v>
      </c>
      <c r="M5" t="str">
        <f>TEXT(Project!I5+512,"YYYY-MM-DDTHH:mm:SS.000Z")</f>
        <v>1901-05-26T00:00:00.000Z</v>
      </c>
      <c r="N5" t="str">
        <f>"rg:{'code':'"&amp;Project!K5&amp;"', 'dateOpen': '2015-09-28T12:00:00.181Z',  'dateClosed': '2015-10-28T12:00:00.181Z' }"</f>
        <v>rg:{'code':'', 'dateOpen': '2015-09-28T12:00:00.181Z',  'dateClosed': '2015-10-28T12:00:00.181Z' }</v>
      </c>
      <c r="O5">
        <f>Project!J5</f>
        <v>0</v>
      </c>
      <c r="P5">
        <v>50.752096999999999</v>
      </c>
      <c r="Q5">
        <v>-128.32202899999999</v>
      </c>
      <c r="R5" t="str">
        <f>"rg:dataset('intakeqa.csv', '"&amp;Project!$A5&amp;"')"</f>
        <v>rg:dataset('intakeqa.csv', '')</v>
      </c>
      <c r="S5" t="str">
        <f>"rg:dataset('projphases.csv', '"&amp;Project!$A5&amp;"')"</f>
        <v>rg:dataset('projphases.csv', '')</v>
      </c>
      <c r="T5" t="str">
        <f>"rg:dataset('milestones.csv', '"&amp;Project!$A5&amp;"')"</f>
        <v>rg:dataset('milestones.csv', '')</v>
      </c>
      <c r="U5" t="str">
        <f>"rg:dataset('activities.csv', '"&amp;Project!$A5&amp;"')"</f>
        <v>rg:dataset('activities.csv', '')</v>
      </c>
      <c r="V5" t="str">
        <f>"rg:dataset('team.csv', '"&amp;Project!$A5&amp;"')"</f>
        <v>rg:dataset('team.csv', '')</v>
      </c>
      <c r="W5" t="str">
        <f>"rg:dataset('deliverables.csv', '"&amp;Project!$A5&amp;"')"</f>
        <v>rg:dataset('deliverables.csv', '')</v>
      </c>
      <c r="X5" t="str">
        <f>"rg:dataset('buckets.csv', '"&amp;Project!$A5&amp;"')"</f>
        <v>rg:dataset('buckets.csv', '')</v>
      </c>
      <c r="Y5" t="str">
        <f>"rg:dataset('requirements.csv', '"&amp;Project!$A5&amp;"')"</f>
        <v>rg:dataset('requirements.csv', '')</v>
      </c>
      <c r="Z5" t="s">
        <v>242</v>
      </c>
      <c r="AA5" t="str">
        <f>"rg:dataset('data.csv', '"&amp;Project!$A5&amp;"')"</f>
        <v>rg:dataset('data.csv', '')</v>
      </c>
    </row>
    <row r="6" spans="1:27" x14ac:dyDescent="0.35">
      <c r="A6" t="str">
        <f>IF(ISBLANK(Project!A6),"-",Project!A6)</f>
        <v>-</v>
      </c>
      <c r="B6" t="str">
        <f t="shared" si="0"/>
        <v>-</v>
      </c>
      <c r="C6">
        <f>Project!B6</f>
        <v>0</v>
      </c>
      <c r="F6">
        <f>Project!E6</f>
        <v>0</v>
      </c>
      <c r="G6">
        <f>Project!F6</f>
        <v>0</v>
      </c>
      <c r="H6">
        <f>Project!G6</f>
        <v>0</v>
      </c>
      <c r="I6" t="e">
        <f>VLOOKUP(Project!H6,ActTasks!A:B,2,FALSE)</f>
        <v>#N/A</v>
      </c>
      <c r="J6" t="str">
        <f>TEXT(Project!I6,"YYYY-MM-DDTHH:mm:SS.000Z")</f>
        <v>1900-01-00T00:00:00.000Z</v>
      </c>
      <c r="K6" t="str">
        <f>TEXT(Project!I6+512,"YYYY-MM-DDTHH:mm:SS.000Z")</f>
        <v>1901-05-26T00:00:00.000Z</v>
      </c>
      <c r="M6" t="str">
        <f>TEXT(Project!I6+512,"YYYY-MM-DDTHH:mm:SS.000Z")</f>
        <v>1901-05-26T00:00:00.000Z</v>
      </c>
      <c r="N6" t="str">
        <f>"rg:{'code':'"&amp;Project!K6&amp;"', 'dateOpen': '2015-09-28T12:00:00.181Z',  'dateClosed': '2015-10-28T12:00:00.181Z' }"</f>
        <v>rg:{'code':'', 'dateOpen': '2015-09-28T12:00:00.181Z',  'dateClosed': '2015-10-28T12:00:00.181Z' }</v>
      </c>
      <c r="O6">
        <f>Project!J6</f>
        <v>0</v>
      </c>
      <c r="P6">
        <v>50.752096999999999</v>
      </c>
      <c r="Q6">
        <v>-128.32202899999999</v>
      </c>
      <c r="R6" t="str">
        <f>"rg:dataset('intakeqa.csv', '"&amp;Project!$A6&amp;"')"</f>
        <v>rg:dataset('intakeqa.csv', '')</v>
      </c>
      <c r="S6" t="str">
        <f>"rg:dataset('projphases.csv', '"&amp;Project!$A6&amp;"')"</f>
        <v>rg:dataset('projphases.csv', '')</v>
      </c>
      <c r="T6" t="str">
        <f>"rg:dataset('milestones.csv', '"&amp;Project!$A6&amp;"')"</f>
        <v>rg:dataset('milestones.csv', '')</v>
      </c>
      <c r="U6" t="str">
        <f>"rg:dataset('activities.csv', '"&amp;Project!$A6&amp;"')"</f>
        <v>rg:dataset('activities.csv', '')</v>
      </c>
      <c r="V6" t="str">
        <f>"rg:dataset('team.csv', '"&amp;Project!$A6&amp;"')"</f>
        <v>rg:dataset('team.csv', '')</v>
      </c>
      <c r="W6" t="str">
        <f>"rg:dataset('deliverables.csv', '"&amp;Project!$A6&amp;"')"</f>
        <v>rg:dataset('deliverables.csv', '')</v>
      </c>
      <c r="X6" t="str">
        <f>"rg:dataset('buckets.csv', '"&amp;Project!$A6&amp;"')"</f>
        <v>rg:dataset('buckets.csv', '')</v>
      </c>
      <c r="Y6" t="str">
        <f>"rg:dataset('requirements.csv', '"&amp;Project!$A6&amp;"')"</f>
        <v>rg:dataset('requirements.csv', '')</v>
      </c>
      <c r="Z6" t="s">
        <v>242</v>
      </c>
      <c r="AA6" t="str">
        <f>"rg:dataset('data.csv', '"&amp;Project!$A6&amp;"')"</f>
        <v>rg:dataset('data.csv', '')</v>
      </c>
    </row>
    <row r="7" spans="1:27" x14ac:dyDescent="0.35">
      <c r="A7" t="str">
        <f>IF(ISBLANK(Project!A7),"-",Project!A7)</f>
        <v>-</v>
      </c>
      <c r="B7" t="str">
        <f t="shared" si="0"/>
        <v>-</v>
      </c>
      <c r="C7">
        <f>Project!B7</f>
        <v>0</v>
      </c>
      <c r="F7">
        <f>Project!E7</f>
        <v>0</v>
      </c>
      <c r="G7">
        <f>Project!F7</f>
        <v>0</v>
      </c>
      <c r="H7">
        <f>Project!G7</f>
        <v>0</v>
      </c>
      <c r="I7" t="e">
        <f>VLOOKUP(Project!H7,ActTasks!A:B,2,FALSE)</f>
        <v>#N/A</v>
      </c>
      <c r="J7" t="str">
        <f>TEXT(Project!I7,"YYYY-MM-DDTHH:mm:SS.000Z")</f>
        <v>1900-01-00T00:00:00.000Z</v>
      </c>
      <c r="K7" t="str">
        <f>TEXT(Project!I7+512,"YYYY-MM-DDTHH:mm:SS.000Z")</f>
        <v>1901-05-26T00:00:00.000Z</v>
      </c>
      <c r="M7" t="str">
        <f>TEXT(Project!I7+512,"YYYY-MM-DDTHH:mm:SS.000Z")</f>
        <v>1901-05-26T00:00:00.000Z</v>
      </c>
      <c r="N7" t="str">
        <f>"rg:{'code':'"&amp;Project!K7&amp;"', 'dateOpen': '2015-09-28T12:00:00.181Z',  'dateClosed': '2015-10-28T12:00:00.181Z' }"</f>
        <v>rg:{'code':'', 'dateOpen': '2015-09-28T12:00:00.181Z',  'dateClosed': '2015-10-28T12:00:00.181Z' }</v>
      </c>
      <c r="O7">
        <f>Project!J7</f>
        <v>0</v>
      </c>
      <c r="P7">
        <v>50.752096999999999</v>
      </c>
      <c r="Q7">
        <v>-128.32202899999999</v>
      </c>
      <c r="R7" t="str">
        <f>"rg:dataset('intakeqa.csv', '"&amp;Project!$A7&amp;"')"</f>
        <v>rg:dataset('intakeqa.csv', '')</v>
      </c>
      <c r="S7" t="str">
        <f>"rg:dataset('projphases.csv', '"&amp;Project!$A7&amp;"')"</f>
        <v>rg:dataset('projphases.csv', '')</v>
      </c>
      <c r="T7" t="str">
        <f>"rg:dataset('milestones.csv', '"&amp;Project!$A7&amp;"')"</f>
        <v>rg:dataset('milestones.csv', '')</v>
      </c>
      <c r="U7" t="str">
        <f>"rg:dataset('activities.csv', '"&amp;Project!$A7&amp;"')"</f>
        <v>rg:dataset('activities.csv', '')</v>
      </c>
      <c r="V7" t="str">
        <f>"rg:dataset('team.csv', '"&amp;Project!$A7&amp;"')"</f>
        <v>rg:dataset('team.csv', '')</v>
      </c>
      <c r="W7" t="str">
        <f>"rg:dataset('deliverables.csv', '"&amp;Project!$A7&amp;"')"</f>
        <v>rg:dataset('deliverables.csv', '')</v>
      </c>
      <c r="X7" t="str">
        <f>"rg:dataset('buckets.csv', '"&amp;Project!$A7&amp;"')"</f>
        <v>rg:dataset('buckets.csv', '')</v>
      </c>
      <c r="Y7" t="str">
        <f>"rg:dataset('requirements.csv', '"&amp;Project!$A7&amp;"')"</f>
        <v>rg:dataset('requirements.csv', '')</v>
      </c>
      <c r="Z7" t="s">
        <v>242</v>
      </c>
      <c r="AA7" t="str">
        <f>"rg:dataset('data.csv', '"&amp;Project!$A7&amp;"')"</f>
        <v>rg:dataset('data.csv', '')</v>
      </c>
    </row>
    <row r="8" spans="1:27" x14ac:dyDescent="0.35">
      <c r="A8" t="str">
        <f>IF(ISBLANK(Project!A8),"-",Project!A8)</f>
        <v>-</v>
      </c>
      <c r="B8" t="str">
        <f t="shared" si="0"/>
        <v>-</v>
      </c>
      <c r="C8">
        <f>Project!B8</f>
        <v>0</v>
      </c>
      <c r="F8">
        <f>Project!E8</f>
        <v>0</v>
      </c>
      <c r="G8">
        <f>Project!F8</f>
        <v>0</v>
      </c>
      <c r="H8">
        <f>Project!G8</f>
        <v>0</v>
      </c>
      <c r="I8" t="e">
        <f>VLOOKUP(Project!H8,ActTasks!A:B,2,FALSE)</f>
        <v>#N/A</v>
      </c>
      <c r="J8" t="str">
        <f>TEXT(Project!I8,"YYYY-MM-DDTHH:mm:SS.000Z")</f>
        <v>1900-01-00T00:00:00.000Z</v>
      </c>
      <c r="K8" t="str">
        <f>TEXT(Project!I8+512,"YYYY-MM-DDTHH:mm:SS.000Z")</f>
        <v>1901-05-26T00:00:00.000Z</v>
      </c>
      <c r="M8" t="str">
        <f>TEXT(Project!I8+512,"YYYY-MM-DDTHH:mm:SS.000Z")</f>
        <v>1901-05-26T00:00:00.000Z</v>
      </c>
      <c r="N8" t="str">
        <f>"rg:{'code':'"&amp;Project!K8&amp;"', 'dateOpen': '2015-09-28T12:00:00.181Z',  'dateClosed': '2015-10-28T12:00:00.181Z' }"</f>
        <v>rg:{'code':'', 'dateOpen': '2015-09-28T12:00:00.181Z',  'dateClosed': '2015-10-28T12:00:00.181Z' }</v>
      </c>
      <c r="O8">
        <f>Project!J8</f>
        <v>0</v>
      </c>
      <c r="P8">
        <v>50.752096999999999</v>
      </c>
      <c r="Q8">
        <v>-128.32202899999999</v>
      </c>
      <c r="R8" t="str">
        <f>"rg:dataset('intakeqa.csv', '"&amp;Project!$A8&amp;"')"</f>
        <v>rg:dataset('intakeqa.csv', '')</v>
      </c>
      <c r="S8" t="str">
        <f>"rg:dataset('projphases.csv', '"&amp;Project!$A8&amp;"')"</f>
        <v>rg:dataset('projphases.csv', '')</v>
      </c>
      <c r="T8" t="str">
        <f>"rg:dataset('milestones.csv', '"&amp;Project!$A8&amp;"')"</f>
        <v>rg:dataset('milestones.csv', '')</v>
      </c>
      <c r="U8" t="str">
        <f>"rg:dataset('activities.csv', '"&amp;Project!$A8&amp;"')"</f>
        <v>rg:dataset('activities.csv', '')</v>
      </c>
      <c r="V8" t="str">
        <f>"rg:dataset('team.csv', '"&amp;Project!$A8&amp;"')"</f>
        <v>rg:dataset('team.csv', '')</v>
      </c>
      <c r="W8" t="str">
        <f>"rg:dataset('deliverables.csv', '"&amp;Project!$A8&amp;"')"</f>
        <v>rg:dataset('deliverables.csv', '')</v>
      </c>
      <c r="X8" t="str">
        <f>"rg:dataset('buckets.csv', '"&amp;Project!$A8&amp;"')"</f>
        <v>rg:dataset('buckets.csv', '')</v>
      </c>
      <c r="Y8" t="str">
        <f>"rg:dataset('requirements.csv', '"&amp;Project!$A8&amp;"')"</f>
        <v>rg:dataset('requirements.csv', '')</v>
      </c>
      <c r="Z8" t="s">
        <v>242</v>
      </c>
      <c r="AA8" t="str">
        <f>"rg:dataset('data.csv', '"&amp;Project!$A8&amp;"')"</f>
        <v>rg:dataset('data.csv', '')</v>
      </c>
    </row>
    <row r="9" spans="1:27" x14ac:dyDescent="0.35">
      <c r="A9" t="str">
        <f>IF(ISBLANK(Project!A9),"-",Project!A9)</f>
        <v>-</v>
      </c>
      <c r="B9" t="str">
        <f t="shared" si="0"/>
        <v>-</v>
      </c>
      <c r="C9">
        <f>Project!B9</f>
        <v>0</v>
      </c>
      <c r="F9">
        <f>Project!E9</f>
        <v>0</v>
      </c>
      <c r="G9">
        <f>Project!F9</f>
        <v>0</v>
      </c>
      <c r="H9">
        <f>Project!G9</f>
        <v>0</v>
      </c>
      <c r="I9" t="e">
        <f>VLOOKUP(Project!H9,ActTasks!A:B,2,FALSE)</f>
        <v>#N/A</v>
      </c>
      <c r="J9" t="str">
        <f>TEXT(Project!I9,"YYYY-MM-DDTHH:mm:SS.000Z")</f>
        <v>1900-01-00T00:00:00.000Z</v>
      </c>
      <c r="K9" t="str">
        <f>TEXT(Project!I9+512,"YYYY-MM-DDTHH:mm:SS.000Z")</f>
        <v>1901-05-26T00:00:00.000Z</v>
      </c>
      <c r="M9" t="str">
        <f>TEXT(Project!I9+512,"YYYY-MM-DDTHH:mm:SS.000Z")</f>
        <v>1901-05-26T00:00:00.000Z</v>
      </c>
      <c r="N9" t="str">
        <f>"rg:{'code':'"&amp;Project!K9&amp;"', 'dateOpen': '2015-09-28T12:00:00.181Z',  'dateClosed': '2015-10-28T12:00:00.181Z' }"</f>
        <v>rg:{'code':'', 'dateOpen': '2015-09-28T12:00:00.181Z',  'dateClosed': '2015-10-28T12:00:00.181Z' }</v>
      </c>
      <c r="O9">
        <f>Project!J9</f>
        <v>0</v>
      </c>
      <c r="P9">
        <v>50.752096999999999</v>
      </c>
      <c r="Q9">
        <v>-128.32202899999999</v>
      </c>
      <c r="R9" t="str">
        <f>"rg:dataset('intakeqa.csv', '"&amp;Project!$A9&amp;"')"</f>
        <v>rg:dataset('intakeqa.csv', '')</v>
      </c>
      <c r="S9" t="str">
        <f>"rg:dataset('projphases.csv', '"&amp;Project!$A9&amp;"')"</f>
        <v>rg:dataset('projphases.csv', '')</v>
      </c>
      <c r="T9" t="str">
        <f>"rg:dataset('milestones.csv', '"&amp;Project!$A9&amp;"')"</f>
        <v>rg:dataset('milestones.csv', '')</v>
      </c>
      <c r="U9" t="str">
        <f>"rg:dataset('activities.csv', '"&amp;Project!$A9&amp;"')"</f>
        <v>rg:dataset('activities.csv', '')</v>
      </c>
      <c r="V9" t="str">
        <f>"rg:dataset('team.csv', '"&amp;Project!$A9&amp;"')"</f>
        <v>rg:dataset('team.csv', '')</v>
      </c>
      <c r="W9" t="str">
        <f>"rg:dataset('deliverables.csv', '"&amp;Project!$A9&amp;"')"</f>
        <v>rg:dataset('deliverables.csv', '')</v>
      </c>
      <c r="X9" t="str">
        <f>"rg:dataset('buckets.csv', '"&amp;Project!$A9&amp;"')"</f>
        <v>rg:dataset('buckets.csv', '')</v>
      </c>
      <c r="Y9" t="str">
        <f>"rg:dataset('requirements.csv', '"&amp;Project!$A9&amp;"')"</f>
        <v>rg:dataset('requirements.csv', '')</v>
      </c>
      <c r="Z9" t="s">
        <v>242</v>
      </c>
      <c r="AA9" t="str">
        <f>"rg:dataset('data.csv', '"&amp;Project!$A9&amp;"')"</f>
        <v>rg:dataset('data.csv', '')</v>
      </c>
    </row>
    <row r="10" spans="1:27" x14ac:dyDescent="0.35">
      <c r="A10" t="str">
        <f>IF(ISBLANK(Project!A10),"-",Project!A10)</f>
        <v>-</v>
      </c>
      <c r="B10" t="str">
        <f t="shared" si="0"/>
        <v>-</v>
      </c>
      <c r="C10">
        <f>Project!B10</f>
        <v>0</v>
      </c>
      <c r="F10">
        <f>Project!E10</f>
        <v>0</v>
      </c>
      <c r="G10">
        <f>Project!F10</f>
        <v>0</v>
      </c>
      <c r="H10">
        <f>Project!G10</f>
        <v>0</v>
      </c>
      <c r="I10" t="e">
        <f>VLOOKUP(Project!H10,ActTasks!A:B,2,FALSE)</f>
        <v>#N/A</v>
      </c>
      <c r="J10" t="str">
        <f>TEXT(Project!I10,"YYYY-MM-DDTHH:mm:SS.000Z")</f>
        <v>1900-01-00T00:00:00.000Z</v>
      </c>
      <c r="K10" t="str">
        <f>TEXT(Project!I10+512,"YYYY-MM-DDTHH:mm:SS.000Z")</f>
        <v>1901-05-26T00:00:00.000Z</v>
      </c>
      <c r="M10" t="str">
        <f>TEXT(Project!I10+512,"YYYY-MM-DDTHH:mm:SS.000Z")</f>
        <v>1901-05-26T00:00:00.000Z</v>
      </c>
      <c r="N10" t="str">
        <f>"rg:{'code':'"&amp;Project!K10&amp;"', 'dateOpen': '2015-09-28T12:00:00.181Z',  'dateClosed': '2015-10-28T12:00:00.181Z' }"</f>
        <v>rg:{'code':'', 'dateOpen': '2015-09-28T12:00:00.181Z',  'dateClosed': '2015-10-28T12:00:00.181Z' }</v>
      </c>
      <c r="O10">
        <f>Project!J10</f>
        <v>0</v>
      </c>
      <c r="P10">
        <v>50.752096999999999</v>
      </c>
      <c r="Q10">
        <v>-128.32202899999999</v>
      </c>
      <c r="R10" t="str">
        <f>"rg:dataset('intakeqa.csv', '"&amp;Project!$A10&amp;"')"</f>
        <v>rg:dataset('intakeqa.csv', '')</v>
      </c>
      <c r="S10" t="str">
        <f>"rg:dataset('projphases.csv', '"&amp;Project!$A10&amp;"')"</f>
        <v>rg:dataset('projphases.csv', '')</v>
      </c>
      <c r="T10" t="str">
        <f>"rg:dataset('milestones.csv', '"&amp;Project!$A10&amp;"')"</f>
        <v>rg:dataset('milestones.csv', '')</v>
      </c>
      <c r="U10" t="str">
        <f>"rg:dataset('activities.csv', '"&amp;Project!$A10&amp;"')"</f>
        <v>rg:dataset('activities.csv', '')</v>
      </c>
      <c r="V10" t="str">
        <f>"rg:dataset('team.csv', '"&amp;Project!$A10&amp;"')"</f>
        <v>rg:dataset('team.csv', '')</v>
      </c>
      <c r="W10" t="str">
        <f>"rg:dataset('deliverables.csv', '"&amp;Project!$A10&amp;"')"</f>
        <v>rg:dataset('deliverables.csv', '')</v>
      </c>
      <c r="X10" t="str">
        <f>"rg:dataset('buckets.csv', '"&amp;Project!$A10&amp;"')"</f>
        <v>rg:dataset('buckets.csv', '')</v>
      </c>
      <c r="Y10" t="str">
        <f>"rg:dataset('requirements.csv', '"&amp;Project!$A10&amp;"')"</f>
        <v>rg:dataset('requirements.csv', '')</v>
      </c>
      <c r="Z10" t="s">
        <v>242</v>
      </c>
      <c r="AA10" t="str">
        <f>"rg:dataset('data.csv', '"&amp;Project!$A10&amp;"')"</f>
        <v>rg:dataset('data.csv', '')</v>
      </c>
    </row>
    <row r="11" spans="1:27" x14ac:dyDescent="0.35">
      <c r="A11" t="str">
        <f>IF(ISBLANK(Project!A11),"-",Project!A11)</f>
        <v>-</v>
      </c>
      <c r="B11" t="str">
        <f t="shared" si="0"/>
        <v>-</v>
      </c>
      <c r="C11">
        <f>Project!B11</f>
        <v>0</v>
      </c>
      <c r="F11">
        <f>Project!E11</f>
        <v>0</v>
      </c>
      <c r="G11">
        <f>Project!F11</f>
        <v>0</v>
      </c>
      <c r="H11">
        <f>Project!G11</f>
        <v>0</v>
      </c>
      <c r="I11" t="e">
        <f>VLOOKUP(Project!H11,ActTasks!A:B,2,FALSE)</f>
        <v>#N/A</v>
      </c>
      <c r="J11" t="str">
        <f>TEXT(Project!I11,"YYYY-MM-DDTHH:mm:SS.000Z")</f>
        <v>1900-01-00T00:00:00.000Z</v>
      </c>
      <c r="K11" t="str">
        <f>TEXT(Project!I11+512,"YYYY-MM-DDTHH:mm:SS.000Z")</f>
        <v>1901-05-26T00:00:00.000Z</v>
      </c>
      <c r="M11" t="str">
        <f>TEXT(Project!I11+512,"YYYY-MM-DDTHH:mm:SS.000Z")</f>
        <v>1901-05-26T00:00:00.000Z</v>
      </c>
      <c r="N11" t="str">
        <f>"rg:{'code':'"&amp;Project!K11&amp;"', 'dateOpen': '2015-09-28T12:00:00.181Z',  'dateClosed': '2015-10-28T12:00:00.181Z' }"</f>
        <v>rg:{'code':'', 'dateOpen': '2015-09-28T12:00:00.181Z',  'dateClosed': '2015-10-28T12:00:00.181Z' }</v>
      </c>
      <c r="O11">
        <f>Project!J11</f>
        <v>0</v>
      </c>
      <c r="P11">
        <v>50.752096999999999</v>
      </c>
      <c r="Q11">
        <v>-128.32202899999999</v>
      </c>
      <c r="R11" t="str">
        <f>"rg:dataset('intakeqa.csv', '"&amp;Project!$A11&amp;"')"</f>
        <v>rg:dataset('intakeqa.csv', '')</v>
      </c>
      <c r="S11" t="str">
        <f>"rg:dataset('projphases.csv', '"&amp;Project!$A11&amp;"')"</f>
        <v>rg:dataset('projphases.csv', '')</v>
      </c>
      <c r="T11" t="str">
        <f>"rg:dataset('milestones.csv', '"&amp;Project!$A11&amp;"')"</f>
        <v>rg:dataset('milestones.csv', '')</v>
      </c>
      <c r="U11" t="str">
        <f>"rg:dataset('activities.csv', '"&amp;Project!$A11&amp;"')"</f>
        <v>rg:dataset('activities.csv', '')</v>
      </c>
      <c r="V11" t="str">
        <f>"rg:dataset('team.csv', '"&amp;Project!$A11&amp;"')"</f>
        <v>rg:dataset('team.csv', '')</v>
      </c>
      <c r="W11" t="str">
        <f>"rg:dataset('deliverables.csv', '"&amp;Project!$A11&amp;"')"</f>
        <v>rg:dataset('deliverables.csv', '')</v>
      </c>
      <c r="X11" t="str">
        <f>"rg:dataset('buckets.csv', '"&amp;Project!$A11&amp;"')"</f>
        <v>rg:dataset('buckets.csv', '')</v>
      </c>
      <c r="Y11" t="str">
        <f>"rg:dataset('requirements.csv', '"&amp;Project!$A11&amp;"')"</f>
        <v>rg:dataset('requirements.csv', '')</v>
      </c>
      <c r="Z11" t="s">
        <v>242</v>
      </c>
      <c r="AA11" t="str">
        <f>"rg:dataset('data.csv', '"&amp;Project!$A11&amp;"')"</f>
        <v>rg:dataset('data.csv', '')</v>
      </c>
    </row>
    <row r="12" spans="1:27" x14ac:dyDescent="0.35">
      <c r="A12" t="str">
        <f>IF(ISBLANK(Project!A12),"-",Project!A12)</f>
        <v>-</v>
      </c>
      <c r="B12" t="str">
        <f t="shared" si="0"/>
        <v>-</v>
      </c>
      <c r="C12">
        <f>Project!B12</f>
        <v>0</v>
      </c>
      <c r="F12">
        <f>Project!E12</f>
        <v>0</v>
      </c>
      <c r="G12">
        <f>Project!F12</f>
        <v>0</v>
      </c>
      <c r="H12">
        <f>Project!G12</f>
        <v>0</v>
      </c>
      <c r="I12" t="e">
        <f>VLOOKUP(Project!H12,ActTasks!A:B,2,FALSE)</f>
        <v>#N/A</v>
      </c>
      <c r="J12" t="str">
        <f>TEXT(Project!I12,"YYYY-MM-DDTHH:mm:SS.000Z")</f>
        <v>1900-01-00T00:00:00.000Z</v>
      </c>
      <c r="K12" t="str">
        <f>TEXT(Project!I12+512,"YYYY-MM-DDTHH:mm:SS.000Z")</f>
        <v>1901-05-26T00:00:00.000Z</v>
      </c>
      <c r="M12" t="str">
        <f>TEXT(Project!I12+512,"YYYY-MM-DDTHH:mm:SS.000Z")</f>
        <v>1901-05-26T00:00:00.000Z</v>
      </c>
      <c r="N12" t="str">
        <f>"rg:{'code':'"&amp;Project!K12&amp;"', 'dateOpen': '2015-09-28T12:00:00.181Z',  'dateClosed': '2015-10-28T12:00:00.181Z' }"</f>
        <v>rg:{'code':'', 'dateOpen': '2015-09-28T12:00:00.181Z',  'dateClosed': '2015-10-28T12:00:00.181Z' }</v>
      </c>
      <c r="O12">
        <f>Project!J12</f>
        <v>0</v>
      </c>
      <c r="P12">
        <v>50.752096999999999</v>
      </c>
      <c r="Q12">
        <v>-128.32202899999999</v>
      </c>
      <c r="R12" t="str">
        <f>"rg:dataset('intakeqa.csv', '"&amp;Project!$A12&amp;"')"</f>
        <v>rg:dataset('intakeqa.csv', '')</v>
      </c>
      <c r="S12" t="str">
        <f>"rg:dataset('projphases.csv', '"&amp;Project!$A12&amp;"')"</f>
        <v>rg:dataset('projphases.csv', '')</v>
      </c>
      <c r="T12" t="str">
        <f>"rg:dataset('milestones.csv', '"&amp;Project!$A12&amp;"')"</f>
        <v>rg:dataset('milestones.csv', '')</v>
      </c>
      <c r="U12" t="str">
        <f>"rg:dataset('activities.csv', '"&amp;Project!$A12&amp;"')"</f>
        <v>rg:dataset('activities.csv', '')</v>
      </c>
      <c r="V12" t="str">
        <f>"rg:dataset('team.csv', '"&amp;Project!$A12&amp;"')"</f>
        <v>rg:dataset('team.csv', '')</v>
      </c>
      <c r="W12" t="str">
        <f>"rg:dataset('deliverables.csv', '"&amp;Project!$A12&amp;"')"</f>
        <v>rg:dataset('deliverables.csv', '')</v>
      </c>
      <c r="X12" t="str">
        <f>"rg:dataset('buckets.csv', '"&amp;Project!$A12&amp;"')"</f>
        <v>rg:dataset('buckets.csv', '')</v>
      </c>
      <c r="Y12" t="str">
        <f>"rg:dataset('requirements.csv', '"&amp;Project!$A12&amp;"')"</f>
        <v>rg:dataset('requirements.csv', '')</v>
      </c>
      <c r="Z12" t="s">
        <v>242</v>
      </c>
      <c r="AA12" t="str">
        <f>"rg:dataset('data.csv', '"&amp;Project!$A12&amp;"')"</f>
        <v>rg:dataset('data.csv', '')</v>
      </c>
    </row>
    <row r="13" spans="1:27" x14ac:dyDescent="0.35">
      <c r="A13" t="str">
        <f>IF(ISBLANK(Project!A13),"-",Project!A13)</f>
        <v>-</v>
      </c>
      <c r="B13" t="str">
        <f t="shared" si="0"/>
        <v>-</v>
      </c>
      <c r="C13">
        <f>Project!B13</f>
        <v>0</v>
      </c>
      <c r="F13">
        <f>Project!E13</f>
        <v>0</v>
      </c>
      <c r="G13">
        <f>Project!F13</f>
        <v>0</v>
      </c>
      <c r="H13">
        <f>Project!G13</f>
        <v>0</v>
      </c>
      <c r="I13" t="e">
        <f>VLOOKUP(Project!H13,ActTasks!A:B,2,FALSE)</f>
        <v>#N/A</v>
      </c>
      <c r="J13" t="str">
        <f>TEXT(Project!I13,"YYYY-MM-DDTHH:mm:SS.000Z")</f>
        <v>1900-01-00T00:00:00.000Z</v>
      </c>
      <c r="K13" t="str">
        <f>TEXT(Project!I13+512,"YYYY-MM-DDTHH:mm:SS.000Z")</f>
        <v>1901-05-26T00:00:00.000Z</v>
      </c>
      <c r="M13" t="str">
        <f>TEXT(Project!I13+512,"YYYY-MM-DDTHH:mm:SS.000Z")</f>
        <v>1901-05-26T00:00:00.000Z</v>
      </c>
      <c r="N13" t="str">
        <f>"rg:{'code':'"&amp;Project!K13&amp;"', 'dateOpen': '2015-09-28T12:00:00.181Z',  'dateClosed': '2015-10-28T12:00:00.181Z' }"</f>
        <v>rg:{'code':'', 'dateOpen': '2015-09-28T12:00:00.181Z',  'dateClosed': '2015-10-28T12:00:00.181Z' }</v>
      </c>
      <c r="O13">
        <f>Project!J13</f>
        <v>0</v>
      </c>
      <c r="P13">
        <v>50.752096999999999</v>
      </c>
      <c r="Q13">
        <v>-128.32202899999999</v>
      </c>
      <c r="R13" t="str">
        <f>"rg:dataset('intakeqa.csv', '"&amp;Project!$A13&amp;"')"</f>
        <v>rg:dataset('intakeqa.csv', '')</v>
      </c>
      <c r="S13" t="str">
        <f>"rg:dataset('projphases.csv', '"&amp;Project!$A13&amp;"')"</f>
        <v>rg:dataset('projphases.csv', '')</v>
      </c>
      <c r="T13" t="str">
        <f>"rg:dataset('milestones.csv', '"&amp;Project!$A13&amp;"')"</f>
        <v>rg:dataset('milestones.csv', '')</v>
      </c>
      <c r="U13" t="str">
        <f>"rg:dataset('activities.csv', '"&amp;Project!$A13&amp;"')"</f>
        <v>rg:dataset('activities.csv', '')</v>
      </c>
      <c r="V13" t="str">
        <f>"rg:dataset('team.csv', '"&amp;Project!$A13&amp;"')"</f>
        <v>rg:dataset('team.csv', '')</v>
      </c>
      <c r="W13" t="str">
        <f>"rg:dataset('deliverables.csv', '"&amp;Project!$A13&amp;"')"</f>
        <v>rg:dataset('deliverables.csv', '')</v>
      </c>
      <c r="X13" t="str">
        <f>"rg:dataset('buckets.csv', '"&amp;Project!$A13&amp;"')"</f>
        <v>rg:dataset('buckets.csv', '')</v>
      </c>
      <c r="Y13" t="str">
        <f>"rg:dataset('requirements.csv', '"&amp;Project!$A13&amp;"')"</f>
        <v>rg:dataset('requirements.csv', '')</v>
      </c>
      <c r="Z13" t="s">
        <v>242</v>
      </c>
      <c r="AA13" t="str">
        <f>"rg:dataset('data.csv', '"&amp;Project!$A13&amp;"')"</f>
        <v>rg:dataset('data.csv', '')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25"/>
  <sheetViews>
    <sheetView workbookViewId="0">
      <pane ySplit="1" topLeftCell="A2" activePane="bottomLeft" state="frozen"/>
      <selection pane="bottomLeft" activeCell="B3" sqref="B3"/>
    </sheetView>
  </sheetViews>
  <sheetFormatPr defaultRowHeight="15.5" x14ac:dyDescent="0.35"/>
  <cols>
    <col min="1" max="1" width="9.6640625" bestFit="1" customWidth="1"/>
    <col min="2" max="2" width="30" bestFit="1" customWidth="1"/>
  </cols>
  <sheetData>
    <row r="1" spans="1:3" s="2" customFormat="1" x14ac:dyDescent="0.35">
      <c r="A1" s="2" t="s">
        <v>0</v>
      </c>
      <c r="B1" s="2" t="s">
        <v>31</v>
      </c>
      <c r="C1" s="2" t="s">
        <v>32</v>
      </c>
    </row>
    <row r="2" spans="1:3" x14ac:dyDescent="0.35">
      <c r="A2" t="str">
        <f>IF(ISBLANK('IntakeQ&amp;A'!C2),"-",'IntakeQ&amp;A'!C2)</f>
        <v>knob</v>
      </c>
      <c r="B2" t="str">
        <f>'IntakeQ&amp;A'!D2</f>
        <v>Name</v>
      </c>
      <c r="C2" t="str">
        <f>'IntakeQ&amp;A'!E2</f>
        <v>Knob Hill Wind Farm Project</v>
      </c>
    </row>
    <row r="3" spans="1:3" x14ac:dyDescent="0.35">
      <c r="A3" t="str">
        <f>IF(ISBLANK('IntakeQ&amp;A'!C3),"-",'IntakeQ&amp;A'!C3)</f>
        <v>knob</v>
      </c>
      <c r="B3" t="str">
        <f>'IntakeQ&amp;A'!D3</f>
        <v>Proponent</v>
      </c>
      <c r="C3" t="str">
        <f>'IntakeQ&amp;A'!E3</f>
        <v>Sea Winds Resources, Inc.</v>
      </c>
    </row>
    <row r="4" spans="1:3" x14ac:dyDescent="0.35">
      <c r="A4" t="str">
        <f>IF(ISBLANK('IntakeQ&amp;A'!C4),"-",'IntakeQ&amp;A'!C4)</f>
        <v>knob</v>
      </c>
      <c r="B4" t="str">
        <f>'IntakeQ&amp;A'!D4</f>
        <v>Type</v>
      </c>
      <c r="C4" t="str">
        <f>'IntakeQ&amp;A'!E4</f>
        <v>Power and Industrial</v>
      </c>
    </row>
    <row r="5" spans="1:3" x14ac:dyDescent="0.35">
      <c r="A5" t="str">
        <f>IF(ISBLANK('IntakeQ&amp;A'!C5),"-",'IntakeQ&amp;A'!C5)</f>
        <v>knob</v>
      </c>
      <c r="B5" t="str">
        <f>'IntakeQ&amp;A'!D5</f>
        <v>Description</v>
      </c>
      <c r="C5" t="str">
        <f>'IntakeQ&amp;A'!E5</f>
        <v>Construction of a new wind farm, with a nominal capacity of 70.5 MW with a preliminary layout of 47 turbines.</v>
      </c>
    </row>
    <row r="6" spans="1:3" x14ac:dyDescent="0.35">
      <c r="A6" t="str">
        <f>IF(ISBLANK('IntakeQ&amp;A'!C6),"-",'IntakeQ&amp;A'!C6)</f>
        <v>knob</v>
      </c>
      <c r="B6" t="str">
        <f>'IntakeQ&amp;A'!D6</f>
        <v>Region</v>
      </c>
      <c r="C6" t="str">
        <f>'IntakeQ&amp;A'!E6</f>
        <v>Vancouver Island/Coast</v>
      </c>
    </row>
    <row r="7" spans="1:3" x14ac:dyDescent="0.35">
      <c r="A7" t="str">
        <f>IF(ISBLANK('IntakeQ&amp;A'!C7),"-",'IntakeQ&amp;A'!C7)</f>
        <v>knob</v>
      </c>
      <c r="B7" t="str">
        <f>'IntakeQ&amp;A'!D7</f>
        <v>Location</v>
      </c>
      <c r="C7" t="str">
        <f>'IntakeQ&amp;A'!E7</f>
        <v>Knob Hill</v>
      </c>
    </row>
    <row r="8" spans="1:3" x14ac:dyDescent="0.35">
      <c r="A8" t="str">
        <f>IF(ISBLANK('IntakeQ&amp;A'!C8),"-",'IntakeQ&amp;A'!C8)</f>
        <v>-</v>
      </c>
      <c r="B8">
        <f>'IntakeQ&amp;A'!D8</f>
        <v>0</v>
      </c>
      <c r="C8">
        <f>'IntakeQ&amp;A'!E8</f>
        <v>0</v>
      </c>
    </row>
    <row r="9" spans="1:3" x14ac:dyDescent="0.35">
      <c r="A9" t="str">
        <f>IF(ISBLANK('IntakeQ&amp;A'!C9),"-",'IntakeQ&amp;A'!C9)</f>
        <v>-</v>
      </c>
      <c r="B9">
        <f>'IntakeQ&amp;A'!D9</f>
        <v>0</v>
      </c>
      <c r="C9">
        <f>'IntakeQ&amp;A'!E9</f>
        <v>0</v>
      </c>
    </row>
    <row r="10" spans="1:3" x14ac:dyDescent="0.35">
      <c r="A10" t="str">
        <f>IF(ISBLANK('IntakeQ&amp;A'!C10),"-",'IntakeQ&amp;A'!C10)</f>
        <v>-</v>
      </c>
      <c r="B10">
        <f>'IntakeQ&amp;A'!D10</f>
        <v>0</v>
      </c>
      <c r="C10">
        <f>'IntakeQ&amp;A'!E10</f>
        <v>0</v>
      </c>
    </row>
    <row r="11" spans="1:3" x14ac:dyDescent="0.35">
      <c r="A11" t="str">
        <f>IF(ISBLANK('IntakeQ&amp;A'!C11),"-",'IntakeQ&amp;A'!C11)</f>
        <v>-</v>
      </c>
      <c r="B11">
        <f>'IntakeQ&amp;A'!D11</f>
        <v>0</v>
      </c>
      <c r="C11">
        <f>'IntakeQ&amp;A'!E11</f>
        <v>0</v>
      </c>
    </row>
    <row r="12" spans="1:3" x14ac:dyDescent="0.35">
      <c r="A12" t="str">
        <f>IF(ISBLANK('IntakeQ&amp;A'!C12),"-",'IntakeQ&amp;A'!C12)</f>
        <v>-</v>
      </c>
      <c r="B12">
        <f>'IntakeQ&amp;A'!D12</f>
        <v>0</v>
      </c>
      <c r="C12">
        <f>'IntakeQ&amp;A'!E12</f>
        <v>0</v>
      </c>
    </row>
    <row r="13" spans="1:3" x14ac:dyDescent="0.35">
      <c r="A13" t="str">
        <f>IF(ISBLANK('IntakeQ&amp;A'!C13),"-",'IntakeQ&amp;A'!C13)</f>
        <v>-</v>
      </c>
      <c r="B13">
        <f>'IntakeQ&amp;A'!D13</f>
        <v>0</v>
      </c>
      <c r="C13">
        <f>'IntakeQ&amp;A'!E13</f>
        <v>0</v>
      </c>
    </row>
    <row r="14" spans="1:3" x14ac:dyDescent="0.35">
      <c r="A14" t="str">
        <f>IF(ISBLANK('IntakeQ&amp;A'!C14),"-",'IntakeQ&amp;A'!C14)</f>
        <v>-</v>
      </c>
      <c r="B14">
        <f>'IntakeQ&amp;A'!D14</f>
        <v>0</v>
      </c>
      <c r="C14">
        <f>'IntakeQ&amp;A'!E14</f>
        <v>0</v>
      </c>
    </row>
    <row r="15" spans="1:3" x14ac:dyDescent="0.35">
      <c r="A15" t="str">
        <f>IF(ISBLANK('IntakeQ&amp;A'!C15),"-",'IntakeQ&amp;A'!C15)</f>
        <v>-</v>
      </c>
      <c r="B15">
        <f>'IntakeQ&amp;A'!D15</f>
        <v>0</v>
      </c>
      <c r="C15">
        <f>'IntakeQ&amp;A'!E15</f>
        <v>0</v>
      </c>
    </row>
    <row r="16" spans="1:3" x14ac:dyDescent="0.35">
      <c r="A16" t="str">
        <f>IF(ISBLANK('IntakeQ&amp;A'!C16),"-",'IntakeQ&amp;A'!C16)</f>
        <v>-</v>
      </c>
      <c r="B16">
        <f>'IntakeQ&amp;A'!D16</f>
        <v>0</v>
      </c>
      <c r="C16">
        <f>'IntakeQ&amp;A'!E16</f>
        <v>0</v>
      </c>
    </row>
    <row r="17" spans="1:3" x14ac:dyDescent="0.35">
      <c r="A17" t="str">
        <f>IF(ISBLANK('IntakeQ&amp;A'!C17),"-",'IntakeQ&amp;A'!C17)</f>
        <v>-</v>
      </c>
      <c r="B17">
        <f>'IntakeQ&amp;A'!D17</f>
        <v>0</v>
      </c>
      <c r="C17">
        <f>'IntakeQ&amp;A'!E17</f>
        <v>0</v>
      </c>
    </row>
    <row r="18" spans="1:3" x14ac:dyDescent="0.35">
      <c r="A18" t="str">
        <f>IF(ISBLANK('IntakeQ&amp;A'!C18),"-",'IntakeQ&amp;A'!C18)</f>
        <v>-</v>
      </c>
      <c r="B18">
        <f>'IntakeQ&amp;A'!D18</f>
        <v>0</v>
      </c>
      <c r="C18">
        <f>'IntakeQ&amp;A'!E18</f>
        <v>0</v>
      </c>
    </row>
    <row r="19" spans="1:3" x14ac:dyDescent="0.35">
      <c r="A19" t="str">
        <f>IF(ISBLANK('IntakeQ&amp;A'!C19),"-",'IntakeQ&amp;A'!C19)</f>
        <v>-</v>
      </c>
      <c r="B19">
        <f>'IntakeQ&amp;A'!D19</f>
        <v>0</v>
      </c>
      <c r="C19">
        <f>'IntakeQ&amp;A'!E19</f>
        <v>0</v>
      </c>
    </row>
    <row r="20" spans="1:3" x14ac:dyDescent="0.35">
      <c r="A20" t="str">
        <f>IF(ISBLANK('IntakeQ&amp;A'!C20),"-",'IntakeQ&amp;A'!C20)</f>
        <v>-</v>
      </c>
      <c r="B20">
        <f>'IntakeQ&amp;A'!D20</f>
        <v>0</v>
      </c>
      <c r="C20">
        <f>'IntakeQ&amp;A'!E20</f>
        <v>0</v>
      </c>
    </row>
    <row r="21" spans="1:3" x14ac:dyDescent="0.35">
      <c r="A21" t="str">
        <f>IF(ISBLANK('IntakeQ&amp;A'!C21),"-",'IntakeQ&amp;A'!C21)</f>
        <v>-</v>
      </c>
      <c r="B21">
        <f>'IntakeQ&amp;A'!D21</f>
        <v>0</v>
      </c>
      <c r="C21">
        <f>'IntakeQ&amp;A'!E21</f>
        <v>0</v>
      </c>
    </row>
    <row r="22" spans="1:3" x14ac:dyDescent="0.35">
      <c r="A22" t="str">
        <f>IF(ISBLANK('IntakeQ&amp;A'!C22),"-",'IntakeQ&amp;A'!C22)</f>
        <v>-</v>
      </c>
      <c r="B22">
        <f>'IntakeQ&amp;A'!D22</f>
        <v>0</v>
      </c>
      <c r="C22">
        <f>'IntakeQ&amp;A'!E22</f>
        <v>0</v>
      </c>
    </row>
    <row r="23" spans="1:3" x14ac:dyDescent="0.35">
      <c r="A23" t="str">
        <f>IF(ISBLANK('IntakeQ&amp;A'!C23),"-",'IntakeQ&amp;A'!C23)</f>
        <v>-</v>
      </c>
      <c r="B23">
        <f>'IntakeQ&amp;A'!D23</f>
        <v>0</v>
      </c>
      <c r="C23">
        <f>'IntakeQ&amp;A'!E23</f>
        <v>0</v>
      </c>
    </row>
    <row r="24" spans="1:3" x14ac:dyDescent="0.35">
      <c r="A24" t="str">
        <f>IF(ISBLANK('IntakeQ&amp;A'!C24),"-",'IntakeQ&amp;A'!C24)</f>
        <v>-</v>
      </c>
      <c r="B24">
        <f>'IntakeQ&amp;A'!D24</f>
        <v>0</v>
      </c>
      <c r="C24">
        <f>'IntakeQ&amp;A'!E24</f>
        <v>0</v>
      </c>
    </row>
    <row r="25" spans="1:3" x14ac:dyDescent="0.35">
      <c r="A25" t="str">
        <f>IF(ISBLANK('IntakeQ&amp;A'!C25),"-",'IntakeQ&amp;A'!C25)</f>
        <v>-</v>
      </c>
      <c r="B25">
        <f>'IntakeQ&amp;A'!D25</f>
        <v>0</v>
      </c>
      <c r="C25">
        <f>'IntakeQ&amp;A'!E25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7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9" width="22.58203125" bestFit="1" customWidth="1"/>
  </cols>
  <sheetData>
    <row r="1" spans="1:9" s="2" customFormat="1" x14ac:dyDescent="0.35">
      <c r="A1" s="2" t="s">
        <v>0</v>
      </c>
      <c r="B1" t="s">
        <v>30</v>
      </c>
      <c r="C1" t="s">
        <v>2</v>
      </c>
      <c r="D1" t="s">
        <v>127</v>
      </c>
      <c r="E1" t="s">
        <v>51</v>
      </c>
      <c r="F1" t="s">
        <v>47</v>
      </c>
      <c r="G1" t="s">
        <v>48</v>
      </c>
      <c r="H1" t="s">
        <v>49</v>
      </c>
      <c r="I1" t="s">
        <v>50</v>
      </c>
    </row>
    <row r="2" spans="1:9" x14ac:dyDescent="0.35">
      <c r="A2" t="str">
        <f>IF(ISBLANK(ProjPhases!A2),"-", ProjPhases!A2)</f>
        <v>knob</v>
      </c>
      <c r="B2" t="str">
        <f>VLOOKUP(C2,Codes!I:J,2,FALSE)</f>
        <v>preea</v>
      </c>
      <c r="C2" t="str">
        <f>ProjPhases!B2</f>
        <v>Pre-EA</v>
      </c>
      <c r="D2">
        <f>ProjPhases!C2</f>
        <v>100</v>
      </c>
      <c r="E2" t="str">
        <f ca="1">IF(ISBLANK(ProjPhases!D2),"rg:None",TEXT(ProjPhases!D2,"YYYY-MM-DDTHH:mm:SS.000Z"))</f>
        <v>2014-06-21T00:00:00.000Z</v>
      </c>
      <c r="F2" t="str">
        <f ca="1">IF(ISBLANK(ProjPhases!E2),"rg:None",TEXT(ProjPhases!E2,"YYYY-MM-DDTHH:mm:SS.000Z"))</f>
        <v>2014-06-21T00:00:00.000Z</v>
      </c>
      <c r="G2" t="str">
        <f ca="1">IF(ISBLANK(ProjPhases!F2),"rg:None",TEXT(ProjPhases!F2,"YYYY-MM-DDTHH:mm:SS.000Z"))</f>
        <v>2014-09-22T00:00:00.000Z</v>
      </c>
      <c r="H2" t="str">
        <f ca="1">IF(ISBLANK(ProjPhases!G2),"rg:None",TEXT(ProjPhases!G2,"YYYY-MM-DDTHH:mm:SS.000Z"))</f>
        <v>2014-06-21T00:00:00.000Z</v>
      </c>
      <c r="I2" t="str">
        <f ca="1">IF(ISBLANK(ProjPhases!H2),"rg:None",TEXT(ProjPhases!H2,"YYYY-MM-DDTHH:mm:SS.000Z"))</f>
        <v>2014-09-10T00:00:00.000Z</v>
      </c>
    </row>
    <row r="3" spans="1:9" x14ac:dyDescent="0.35">
      <c r="A3" t="str">
        <f>IF(ISBLANK(ProjPhases!A3),"-", ProjPhases!A3)</f>
        <v>knob</v>
      </c>
      <c r="B3" t="str">
        <f>VLOOKUP(C3,Codes!I:J,2,FALSE)</f>
        <v>preapp</v>
      </c>
      <c r="C3" t="str">
        <f>ProjPhases!B3</f>
        <v>Pre Application</v>
      </c>
      <c r="D3">
        <f>ProjPhases!C3</f>
        <v>100</v>
      </c>
      <c r="E3" t="str">
        <f ca="1">IF(ISBLANK(ProjPhases!D3),"rg:None",TEXT(ProjPhases!D3,"YYYY-MM-DDTHH:mm:SS.000Z"))</f>
        <v>2014-06-21T00:00:00.000Z</v>
      </c>
      <c r="F3" t="str">
        <f ca="1">IF(ISBLANK(ProjPhases!E3),"rg:None",TEXT(ProjPhases!E3,"YYYY-MM-DDTHH:mm:SS.000Z"))</f>
        <v>2014-09-22T00:00:00.000Z</v>
      </c>
      <c r="G3" t="str">
        <f ca="1">IF(ISBLANK(ProjPhases!F3),"rg:None",TEXT(ProjPhases!F3,"YYYY-MM-DDTHH:mm:SS.000Z"))</f>
        <v>2015-07-19T00:00:00.000Z</v>
      </c>
      <c r="H3" t="str">
        <f ca="1">IF(ISBLANK(ProjPhases!G3),"rg:None",TEXT(ProjPhases!G3,"YYYY-MM-DDTHH:mm:SS.000Z"))</f>
        <v>2014-09-10T00:00:00.000Z</v>
      </c>
      <c r="I3" t="str">
        <f ca="1">IF(ISBLANK(ProjPhases!H3),"rg:None",TEXT(ProjPhases!H3,"YYYY-MM-DDTHH:mm:SS.000Z"))</f>
        <v>2015-06-18T00:00:00.000Z</v>
      </c>
    </row>
    <row r="4" spans="1:9" x14ac:dyDescent="0.35">
      <c r="A4" t="str">
        <f>IF(ISBLANK(ProjPhases!A4),"-", ProjPhases!A4)</f>
        <v>knob</v>
      </c>
      <c r="B4" t="str">
        <f>VLOOKUP(C4,Codes!I:J,2,FALSE)</f>
        <v>eval</v>
      </c>
      <c r="C4" t="str">
        <f>ProjPhases!B4</f>
        <v>Evaluation</v>
      </c>
      <c r="D4">
        <v>25</v>
      </c>
      <c r="E4" t="str">
        <f ca="1">IF(ISBLANK(ProjPhases!D4),"rg:None",TEXT(ProjPhases!D4,"YYYY-MM-DDTHH:mm:SS.000Z"))</f>
        <v>2015-07-19T00:00:00.000Z</v>
      </c>
      <c r="F4" t="str">
        <f ca="1">IF(ISBLANK(ProjPhases!E4),"rg:None",TEXT(ProjPhases!E4,"YYYY-MM-DDTHH:mm:SS.000Z"))</f>
        <v>2014-09-10T00:00:00.000Z</v>
      </c>
      <c r="G4" t="str">
        <f ca="1">IF(ISBLANK(ProjPhases!F4),"rg:None",TEXT(ProjPhases!F4,"YYYY-MM-DDTHH:mm:SS.000Z"))</f>
        <v>2016-09-24T00:00:00.000Z</v>
      </c>
      <c r="H4" t="str">
        <f ca="1">IF(ISBLANK(ProjPhases!G4),"rg:None",TEXT(ProjPhases!G4,"YYYY-MM-DDTHH:mm:SS.000Z"))</f>
        <v>2015-06-18T00:00:00.000Z</v>
      </c>
      <c r="I4" t="str">
        <f>IF(ISBLANK(ProjPhases!H4),"rg:None",TEXT(ProjPhases!H4,"YYYY-MM-DDTHH:mm:SS.000Z"))</f>
        <v>rg:None</v>
      </c>
    </row>
    <row r="5" spans="1:9" x14ac:dyDescent="0.35">
      <c r="A5" t="str">
        <f>IF(ISBLANK(ProjPhases!A5),"-", ProjPhases!A5)</f>
        <v>knob</v>
      </c>
      <c r="B5" t="str">
        <f>VLOOKUP(C5,Codes!I:J,2,FALSE)</f>
        <v>rev</v>
      </c>
      <c r="C5" t="str">
        <f>ProjPhases!B5</f>
        <v>Review</v>
      </c>
      <c r="D5">
        <f>ProjPhases!C5</f>
        <v>0</v>
      </c>
      <c r="E5" t="str">
        <f ca="1">IF(ISBLANK(ProjPhases!D5),"rg:None",TEXT(ProjPhases!D5,"YYYY-MM-DDTHH:mm:SS.000Z"))</f>
        <v>2014-09-10T00:00:00.000Z</v>
      </c>
      <c r="F5" t="str">
        <f ca="1">IF(ISBLANK(ProjPhases!E5),"rg:None",TEXT(ProjPhases!E5,"YYYY-MM-DDTHH:mm:SS.000Z"))</f>
        <v>2016-09-24T00:00:00.000Z</v>
      </c>
      <c r="G5" t="str">
        <f ca="1">IF(ISBLANK(ProjPhases!F5),"rg:None",TEXT(ProjPhases!F5,"YYYY-MM-DDTHH:mm:SS.000Z"))</f>
        <v>2017-06-06T00:00:00.000Z</v>
      </c>
      <c r="H5" t="str">
        <f>IF(ISBLANK(ProjPhases!G5),"rg:None",TEXT(ProjPhases!G5,"YYYY-MM-DDTHH:mm:SS.000Z"))</f>
        <v>rg:None</v>
      </c>
      <c r="I5" t="str">
        <f>IF(ISBLANK(ProjPhases!H5),"rg:None",TEXT(ProjPhases!H5,"YYYY-MM-DDTHH:mm:SS.000Z"))</f>
        <v>rg:None</v>
      </c>
    </row>
    <row r="6" spans="1:9" x14ac:dyDescent="0.35">
      <c r="A6" t="str">
        <f>IF(ISBLANK(ProjPhases!A6),"-", ProjPhases!A6)</f>
        <v>-</v>
      </c>
      <c r="B6" t="e">
        <f>VLOOKUP(C6,Codes!I:J,2,FALSE)</f>
        <v>#N/A</v>
      </c>
      <c r="C6">
        <f>ProjPhases!B6</f>
        <v>0</v>
      </c>
      <c r="D6">
        <f>ProjPhases!C6</f>
        <v>0</v>
      </c>
      <c r="E6" t="str">
        <f>IF(ISBLANK(ProjPhases!D6),"rg:None",TEXT(ProjPhases!D6,"YYYY-MM-DDTHH:mm:SS.000Z"))</f>
        <v>rg:None</v>
      </c>
      <c r="F6" t="str">
        <f>IF(ISBLANK(ProjPhases!E6),"rg:None",TEXT(ProjPhases!E6,"YYYY-MM-DDTHH:mm:SS.000Z"))</f>
        <v>rg:None</v>
      </c>
      <c r="G6" t="str">
        <f>IF(ISBLANK(ProjPhases!F6),"rg:None",TEXT(ProjPhases!F6,"YYYY-MM-DDTHH:mm:SS.000Z"))</f>
        <v>rg:None</v>
      </c>
      <c r="H6" t="str">
        <f>IF(ISBLANK(ProjPhases!G6),"rg:None",TEXT(ProjPhases!G6,"YYYY-MM-DDTHH:mm:SS.000Z"))</f>
        <v>rg:None</v>
      </c>
      <c r="I6" t="str">
        <f>IF(ISBLANK(ProjPhases!H6),"rg:None",TEXT(ProjPhases!H6,"YYYY-MM-DDTHH:mm:SS.000Z"))</f>
        <v>rg:None</v>
      </c>
    </row>
    <row r="7" spans="1:9" x14ac:dyDescent="0.35">
      <c r="A7" t="str">
        <f>IF(ISBLANK(ProjPhases!A7),"-", ProjPhases!A7)</f>
        <v>-</v>
      </c>
      <c r="B7" t="e">
        <f>VLOOKUP(C7,Codes!I:J,2,FALSE)</f>
        <v>#N/A</v>
      </c>
      <c r="C7">
        <f>ProjPhases!B7</f>
        <v>0</v>
      </c>
      <c r="D7">
        <f>ProjPhases!C7</f>
        <v>0</v>
      </c>
      <c r="E7" t="str">
        <f>IF(ISBLANK(ProjPhases!D7),"rg:None",TEXT(ProjPhases!D7,"YYYY-MM-DDTHH:mm:SS.000Z"))</f>
        <v>rg:None</v>
      </c>
      <c r="F7" t="str">
        <f>IF(ISBLANK(ProjPhases!E7),"rg:None",TEXT(ProjPhases!E7,"YYYY-MM-DDTHH:mm:SS.000Z"))</f>
        <v>rg:None</v>
      </c>
      <c r="G7" t="str">
        <f>IF(ISBLANK(ProjPhases!F7),"rg:None",TEXT(ProjPhases!F7,"YYYY-MM-DDTHH:mm:SS.000Z"))</f>
        <v>rg:None</v>
      </c>
      <c r="H7" t="str">
        <f>IF(ISBLANK(ProjPhases!G7),"rg:None",TEXT(ProjPhases!G7,"YYYY-MM-DDTHH:mm:SS.000Z"))</f>
        <v>rg:None</v>
      </c>
      <c r="I7" t="str">
        <f>IF(ISBLANK(ProjPhases!H7),"rg:None",TEXT(ProjPhases!H7,"YYYY-MM-DDTHH:mm:SS.000Z"))</f>
        <v>rg:None</v>
      </c>
    </row>
    <row r="8" spans="1:9" x14ac:dyDescent="0.35">
      <c r="A8" t="str">
        <f>IF(ISBLANK(ProjPhases!A8),"-", ProjPhases!A8)</f>
        <v>-</v>
      </c>
      <c r="B8" t="e">
        <f>VLOOKUP(C8,Codes!I:J,2,FALSE)</f>
        <v>#N/A</v>
      </c>
      <c r="C8">
        <f>ProjPhases!B8</f>
        <v>0</v>
      </c>
      <c r="D8">
        <f>ProjPhases!C8</f>
        <v>0</v>
      </c>
      <c r="E8" t="str">
        <f>IF(ISBLANK(ProjPhases!D8),"rg:None",TEXT(ProjPhases!D8,"YYYY-MM-DDTHH:mm:SS.000Z"))</f>
        <v>rg:None</v>
      </c>
      <c r="F8" t="str">
        <f>IF(ISBLANK(ProjPhases!E8),"rg:None",TEXT(ProjPhases!E8,"YYYY-MM-DDTHH:mm:SS.000Z"))</f>
        <v>rg:None</v>
      </c>
      <c r="G8" t="str">
        <f>IF(ISBLANK(ProjPhases!F8),"rg:None",TEXT(ProjPhases!F8,"YYYY-MM-DDTHH:mm:SS.000Z"))</f>
        <v>rg:None</v>
      </c>
      <c r="H8" t="str">
        <f>IF(ISBLANK(ProjPhases!G8),"rg:None",TEXT(ProjPhases!G8,"YYYY-MM-DDTHH:mm:SS.000Z"))</f>
        <v>rg:None</v>
      </c>
      <c r="I8" t="str">
        <f>IF(ISBLANK(ProjPhases!H8),"rg:None",TEXT(ProjPhases!H8,"YYYY-MM-DDTHH:mm:SS.000Z"))</f>
        <v>rg:None</v>
      </c>
    </row>
    <row r="9" spans="1:9" x14ac:dyDescent="0.35">
      <c r="A9" t="str">
        <f>IF(ISBLANK(ProjPhases!A9),"-", ProjPhases!A9)</f>
        <v>-</v>
      </c>
      <c r="B9" t="e">
        <f>VLOOKUP(C9,Codes!I:J,2,FALSE)</f>
        <v>#N/A</v>
      </c>
      <c r="C9">
        <f>ProjPhases!B9</f>
        <v>0</v>
      </c>
      <c r="D9">
        <f>ProjPhases!C9</f>
        <v>0</v>
      </c>
      <c r="E9" t="str">
        <f>IF(ISBLANK(ProjPhases!D9),"rg:None",TEXT(ProjPhases!D9,"YYYY-MM-DDTHH:mm:SS.000Z"))</f>
        <v>rg:None</v>
      </c>
      <c r="F9" t="str">
        <f>IF(ISBLANK(ProjPhases!E9),"rg:None",TEXT(ProjPhases!E9,"YYYY-MM-DDTHH:mm:SS.000Z"))</f>
        <v>rg:None</v>
      </c>
      <c r="G9" t="str">
        <f>IF(ISBLANK(ProjPhases!F9),"rg:None",TEXT(ProjPhases!F9,"YYYY-MM-DDTHH:mm:SS.000Z"))</f>
        <v>rg:None</v>
      </c>
      <c r="H9" t="str">
        <f>IF(ISBLANK(ProjPhases!G9),"rg:None",TEXT(ProjPhases!G9,"YYYY-MM-DDTHH:mm:SS.000Z"))</f>
        <v>rg:None</v>
      </c>
      <c r="I9" t="str">
        <f>IF(ISBLANK(ProjPhases!H9),"rg:None",TEXT(ProjPhases!H9,"YYYY-MM-DDTHH:mm:SS.000Z"))</f>
        <v>rg:None</v>
      </c>
    </row>
    <row r="10" spans="1:9" x14ac:dyDescent="0.35">
      <c r="A10" t="str">
        <f>IF(ISBLANK(ProjPhases!A10),"-", ProjPhases!A10)</f>
        <v>-</v>
      </c>
      <c r="B10" t="e">
        <f>VLOOKUP(C10,Codes!I:J,2,FALSE)</f>
        <v>#N/A</v>
      </c>
      <c r="C10">
        <f>ProjPhases!B10</f>
        <v>0</v>
      </c>
      <c r="D10">
        <f>ProjPhases!C10</f>
        <v>0</v>
      </c>
      <c r="E10" t="str">
        <f>IF(ISBLANK(ProjPhases!D10),"rg:None",TEXT(ProjPhases!D10,"YYYY-MM-DDTHH:mm:SS.000Z"))</f>
        <v>rg:None</v>
      </c>
      <c r="F10" t="str">
        <f>IF(ISBLANK(ProjPhases!E10),"rg:None",TEXT(ProjPhases!E10,"YYYY-MM-DDTHH:mm:SS.000Z"))</f>
        <v>rg:None</v>
      </c>
      <c r="G10" t="str">
        <f>IF(ISBLANK(ProjPhases!F10),"rg:None",TEXT(ProjPhases!F10,"YYYY-MM-DDTHH:mm:SS.000Z"))</f>
        <v>rg:None</v>
      </c>
      <c r="H10" t="str">
        <f>IF(ISBLANK(ProjPhases!G10),"rg:None",TEXT(ProjPhases!G10,"YYYY-MM-DDTHH:mm:SS.000Z"))</f>
        <v>rg:None</v>
      </c>
      <c r="I10" t="str">
        <f>IF(ISBLANK(ProjPhases!H10),"rg:None",TEXT(ProjPhases!H10,"YYYY-MM-DDTHH:mm:SS.000Z"))</f>
        <v>rg:None</v>
      </c>
    </row>
    <row r="11" spans="1:9" x14ac:dyDescent="0.35">
      <c r="A11" t="str">
        <f>IF(ISBLANK(ProjPhases!A11),"-", ProjPhases!A11)</f>
        <v>-</v>
      </c>
      <c r="B11" t="e">
        <f>VLOOKUP(C11,Codes!I:J,2,FALSE)</f>
        <v>#N/A</v>
      </c>
      <c r="C11">
        <f>ProjPhases!B11</f>
        <v>0</v>
      </c>
      <c r="D11">
        <f>ProjPhases!C11</f>
        <v>0</v>
      </c>
      <c r="E11" t="str">
        <f>IF(ISBLANK(ProjPhases!D11),"rg:None",TEXT(ProjPhases!D11,"YYYY-MM-DDTHH:mm:SS.000Z"))</f>
        <v>rg:None</v>
      </c>
      <c r="F11" t="str">
        <f>IF(ISBLANK(ProjPhases!E11),"rg:None",TEXT(ProjPhases!E11,"YYYY-MM-DDTHH:mm:SS.000Z"))</f>
        <v>rg:None</v>
      </c>
      <c r="G11" t="str">
        <f>IF(ISBLANK(ProjPhases!F11),"rg:None",TEXT(ProjPhases!F11,"YYYY-MM-DDTHH:mm:SS.000Z"))</f>
        <v>rg:None</v>
      </c>
      <c r="H11" t="str">
        <f>IF(ISBLANK(ProjPhases!G11),"rg:None",TEXT(ProjPhases!G11,"YYYY-MM-DDTHH:mm:SS.000Z"))</f>
        <v>rg:None</v>
      </c>
      <c r="I11" t="str">
        <f>IF(ISBLANK(ProjPhases!H11),"rg:None",TEXT(ProjPhases!H11,"YYYY-MM-DDTHH:mm:SS.000Z"))</f>
        <v>rg:None</v>
      </c>
    </row>
    <row r="12" spans="1:9" x14ac:dyDescent="0.35">
      <c r="A12" t="str">
        <f>IF(ISBLANK(ProjPhases!A12),"-", ProjPhases!A12)</f>
        <v>-</v>
      </c>
      <c r="B12" t="e">
        <f>VLOOKUP(C12,Codes!I:J,2,FALSE)</f>
        <v>#N/A</v>
      </c>
      <c r="C12">
        <f>ProjPhases!B12</f>
        <v>0</v>
      </c>
      <c r="D12">
        <f>ProjPhases!C12</f>
        <v>0</v>
      </c>
      <c r="E12" t="str">
        <f>IF(ISBLANK(ProjPhases!D12),"rg:None",TEXT(ProjPhases!D12,"YYYY-MM-DDTHH:mm:SS.000Z"))</f>
        <v>rg:None</v>
      </c>
      <c r="F12" t="str">
        <f>IF(ISBLANK(ProjPhases!E12),"rg:None",TEXT(ProjPhases!E12,"YYYY-MM-DDTHH:mm:SS.000Z"))</f>
        <v>rg:None</v>
      </c>
      <c r="G12" t="str">
        <f>IF(ISBLANK(ProjPhases!F12),"rg:None",TEXT(ProjPhases!F12,"YYYY-MM-DDTHH:mm:SS.000Z"))</f>
        <v>rg:None</v>
      </c>
      <c r="H12" t="str">
        <f>IF(ISBLANK(ProjPhases!G12),"rg:None",TEXT(ProjPhases!G12,"YYYY-MM-DDTHH:mm:SS.000Z"))</f>
        <v>rg:None</v>
      </c>
      <c r="I12" t="str">
        <f>IF(ISBLANK(ProjPhases!H12),"rg:None",TEXT(ProjPhases!H12,"YYYY-MM-DDTHH:mm:SS.000Z"))</f>
        <v>rg:None</v>
      </c>
    </row>
    <row r="13" spans="1:9" x14ac:dyDescent="0.35">
      <c r="A13" t="str">
        <f>IF(ISBLANK(ProjPhases!A13),"-", ProjPhases!A13)</f>
        <v>-</v>
      </c>
      <c r="B13" t="e">
        <f>VLOOKUP(C13,Codes!I:J,2,FALSE)</f>
        <v>#N/A</v>
      </c>
      <c r="C13">
        <f>ProjPhases!B13</f>
        <v>0</v>
      </c>
      <c r="D13">
        <f>ProjPhases!C13</f>
        <v>0</v>
      </c>
      <c r="E13" t="str">
        <f>IF(ISBLANK(ProjPhases!D13),"rg:None",TEXT(ProjPhases!D13,"YYYY-MM-DDTHH:mm:SS.000Z"))</f>
        <v>rg:None</v>
      </c>
      <c r="F13" t="str">
        <f>IF(ISBLANK(ProjPhases!E13),"rg:None",TEXT(ProjPhases!E13,"YYYY-MM-DDTHH:mm:SS.000Z"))</f>
        <v>rg:None</v>
      </c>
      <c r="G13" t="str">
        <f>IF(ISBLANK(ProjPhases!F13),"rg:None",TEXT(ProjPhases!F13,"YYYY-MM-DDTHH:mm:SS.000Z"))</f>
        <v>rg:None</v>
      </c>
      <c r="H13" t="str">
        <f>IF(ISBLANK(ProjPhases!G13),"rg:None",TEXT(ProjPhases!G13,"YYYY-MM-DDTHH:mm:SS.000Z"))</f>
        <v>rg:None</v>
      </c>
      <c r="I13" t="str">
        <f>IF(ISBLANK(ProjPhases!H13),"rg:None",TEXT(ProjPhases!H13,"YYYY-MM-DDTHH:mm:SS.000Z"))</f>
        <v>rg:None</v>
      </c>
    </row>
    <row r="14" spans="1:9" x14ac:dyDescent="0.35">
      <c r="A14" t="str">
        <f>IF(ISBLANK(ProjPhases!A14),"-", ProjPhases!A14)</f>
        <v>-</v>
      </c>
      <c r="B14" t="e">
        <f>VLOOKUP(C14,Codes!I:J,2,FALSE)</f>
        <v>#N/A</v>
      </c>
      <c r="C14">
        <f>ProjPhases!B14</f>
        <v>0</v>
      </c>
      <c r="D14">
        <f>ProjPhases!C14</f>
        <v>0</v>
      </c>
      <c r="E14" t="str">
        <f>IF(ISBLANK(ProjPhases!D14),"rg:None",TEXT(ProjPhases!D14,"YYYY-MM-DDTHH:mm:SS.000Z"))</f>
        <v>rg:None</v>
      </c>
      <c r="F14" t="str">
        <f>IF(ISBLANK(ProjPhases!E14),"rg:None",TEXT(ProjPhases!E14,"YYYY-MM-DDTHH:mm:SS.000Z"))</f>
        <v>rg:None</v>
      </c>
      <c r="G14" t="str">
        <f>IF(ISBLANK(ProjPhases!F14),"rg:None",TEXT(ProjPhases!F14,"YYYY-MM-DDTHH:mm:SS.000Z"))</f>
        <v>rg:None</v>
      </c>
      <c r="H14" t="str">
        <f>IF(ISBLANK(ProjPhases!G14),"rg:None",TEXT(ProjPhases!G14,"YYYY-MM-DDTHH:mm:SS.000Z"))</f>
        <v>rg:None</v>
      </c>
      <c r="I14" t="str">
        <f>IF(ISBLANK(ProjPhases!H14),"rg:None",TEXT(ProjPhases!H14,"YYYY-MM-DDTHH:mm:SS.000Z"))</f>
        <v>rg:None</v>
      </c>
    </row>
    <row r="15" spans="1:9" x14ac:dyDescent="0.35">
      <c r="A15" t="str">
        <f>IF(ISBLANK(ProjPhases!A15),"-", ProjPhases!A15)</f>
        <v>-</v>
      </c>
      <c r="B15" t="e">
        <f>VLOOKUP(C15,Codes!I:J,2,FALSE)</f>
        <v>#N/A</v>
      </c>
      <c r="C15">
        <f>ProjPhases!B15</f>
        <v>0</v>
      </c>
      <c r="D15">
        <f>ProjPhases!C15</f>
        <v>0</v>
      </c>
      <c r="E15" t="str">
        <f>IF(ISBLANK(ProjPhases!D15),"rg:None",TEXT(ProjPhases!D15,"YYYY-MM-DDTHH:mm:SS.000Z"))</f>
        <v>rg:None</v>
      </c>
      <c r="F15" t="str">
        <f>IF(ISBLANK(ProjPhases!E15),"rg:None",TEXT(ProjPhases!E15,"YYYY-MM-DDTHH:mm:SS.000Z"))</f>
        <v>rg:None</v>
      </c>
      <c r="G15" t="str">
        <f>IF(ISBLANK(ProjPhases!F15),"rg:None",TEXT(ProjPhases!F15,"YYYY-MM-DDTHH:mm:SS.000Z"))</f>
        <v>rg:None</v>
      </c>
      <c r="H15" t="str">
        <f>IF(ISBLANK(ProjPhases!G15),"rg:None",TEXT(ProjPhases!G15,"YYYY-MM-DDTHH:mm:SS.000Z"))</f>
        <v>rg:None</v>
      </c>
      <c r="I15" t="str">
        <f>IF(ISBLANK(ProjPhases!H15),"rg:None",TEXT(ProjPhases!H15,"YYYY-MM-DDTHH:mm:SS.000Z"))</f>
        <v>rg:None</v>
      </c>
    </row>
    <row r="16" spans="1:9" x14ac:dyDescent="0.35">
      <c r="A16" t="str">
        <f>IF(ISBLANK(ProjPhases!A16),"-", ProjPhases!A16)</f>
        <v>-</v>
      </c>
      <c r="B16" t="e">
        <f>VLOOKUP(C16,Codes!I:J,2,FALSE)</f>
        <v>#N/A</v>
      </c>
      <c r="C16">
        <f>ProjPhases!B16</f>
        <v>0</v>
      </c>
      <c r="D16">
        <f>ProjPhases!C16</f>
        <v>0</v>
      </c>
      <c r="E16" t="str">
        <f>IF(ISBLANK(ProjPhases!D16),"rg:None",TEXT(ProjPhases!D16,"YYYY-MM-DDTHH:mm:SS.000Z"))</f>
        <v>rg:None</v>
      </c>
      <c r="F16" t="str">
        <f>IF(ISBLANK(ProjPhases!E16),"rg:None",TEXT(ProjPhases!E16,"YYYY-MM-DDTHH:mm:SS.000Z"))</f>
        <v>rg:None</v>
      </c>
      <c r="G16" t="str">
        <f>IF(ISBLANK(ProjPhases!F16),"rg:None",TEXT(ProjPhases!F16,"YYYY-MM-DDTHH:mm:SS.000Z"))</f>
        <v>rg:None</v>
      </c>
      <c r="H16" t="str">
        <f>IF(ISBLANK(ProjPhases!G16),"rg:None",TEXT(ProjPhases!G16,"YYYY-MM-DDTHH:mm:SS.000Z"))</f>
        <v>rg:None</v>
      </c>
      <c r="I16" t="str">
        <f>IF(ISBLANK(ProjPhases!H16),"rg:None",TEXT(ProjPhases!H16,"YYYY-MM-DDTHH:mm:SS.000Z"))</f>
        <v>rg:None</v>
      </c>
    </row>
    <row r="17" spans="1:9" x14ac:dyDescent="0.35">
      <c r="A17" t="str">
        <f>IF(ISBLANK(ProjPhases!A17),"-", ProjPhases!A17)</f>
        <v>-</v>
      </c>
      <c r="B17" t="e">
        <f>VLOOKUP(C17,Codes!I:J,2,FALSE)</f>
        <v>#N/A</v>
      </c>
      <c r="C17">
        <f>ProjPhases!B17</f>
        <v>0</v>
      </c>
      <c r="D17">
        <f>ProjPhases!C17</f>
        <v>0</v>
      </c>
      <c r="E17" t="str">
        <f>IF(ISBLANK(ProjPhases!D17),"rg:None",TEXT(ProjPhases!D17,"YYYY-MM-DDTHH:mm:SS.000Z"))</f>
        <v>rg:None</v>
      </c>
      <c r="F17" t="str">
        <f>IF(ISBLANK(ProjPhases!E17),"rg:None",TEXT(ProjPhases!E17,"YYYY-MM-DDTHH:mm:SS.000Z"))</f>
        <v>rg:None</v>
      </c>
      <c r="G17" t="str">
        <f>IF(ISBLANK(ProjPhases!F17),"rg:None",TEXT(ProjPhases!F17,"YYYY-MM-DDTHH:mm:SS.000Z"))</f>
        <v>rg:None</v>
      </c>
      <c r="H17" t="str">
        <f>IF(ISBLANK(ProjPhases!G17),"rg:None",TEXT(ProjPhases!G17,"YYYY-MM-DDTHH:mm:SS.000Z"))</f>
        <v>rg:None</v>
      </c>
      <c r="I17" t="str">
        <f>IF(ISBLANK(ProjPhases!H17),"rg:None",TEXT(ProjPhases!H17,"YYYY-MM-DDTHH:mm:SS.000Z"))</f>
        <v>rg:None</v>
      </c>
    </row>
    <row r="18" spans="1:9" x14ac:dyDescent="0.35">
      <c r="A18" t="str">
        <f>IF(ISBLANK(ProjPhases!A18),"-", ProjPhases!A18)</f>
        <v>-</v>
      </c>
      <c r="B18" t="e">
        <f>VLOOKUP(C18,Codes!I:J,2,FALSE)</f>
        <v>#N/A</v>
      </c>
      <c r="C18">
        <f>ProjPhases!B18</f>
        <v>0</v>
      </c>
      <c r="D18">
        <f>ProjPhases!C18</f>
        <v>0</v>
      </c>
      <c r="E18" t="str">
        <f>IF(ISBLANK(ProjPhases!D18),"rg:None",TEXT(ProjPhases!D18,"YYYY-MM-DDTHH:mm:SS.000Z"))</f>
        <v>rg:None</v>
      </c>
      <c r="F18" t="str">
        <f>IF(ISBLANK(ProjPhases!E18),"rg:None",TEXT(ProjPhases!E18,"YYYY-MM-DDTHH:mm:SS.000Z"))</f>
        <v>rg:None</v>
      </c>
      <c r="G18" t="str">
        <f>IF(ISBLANK(ProjPhases!F18),"rg:None",TEXT(ProjPhases!F18,"YYYY-MM-DDTHH:mm:SS.000Z"))</f>
        <v>rg:None</v>
      </c>
      <c r="H18" t="str">
        <f>IF(ISBLANK(ProjPhases!G18),"rg:None",TEXT(ProjPhases!G18,"YYYY-MM-DDTHH:mm:SS.000Z"))</f>
        <v>rg:None</v>
      </c>
      <c r="I18" t="str">
        <f>IF(ISBLANK(ProjPhases!H18),"rg:None",TEXT(ProjPhases!H18,"YYYY-MM-DDTHH:mm:SS.000Z"))</f>
        <v>rg:None</v>
      </c>
    </row>
    <row r="19" spans="1:9" x14ac:dyDescent="0.35">
      <c r="A19" t="str">
        <f>IF(ISBLANK(ProjPhases!A19),"-", ProjPhases!A19)</f>
        <v>-</v>
      </c>
      <c r="B19" t="e">
        <f>VLOOKUP(C19,Codes!I:J,2,FALSE)</f>
        <v>#N/A</v>
      </c>
      <c r="C19">
        <f>ProjPhases!B19</f>
        <v>0</v>
      </c>
      <c r="D19">
        <f>ProjPhases!C19</f>
        <v>0</v>
      </c>
      <c r="E19" t="str">
        <f>IF(ISBLANK(ProjPhases!D19),"rg:None",TEXT(ProjPhases!D19,"YYYY-MM-DDTHH:mm:SS.000Z"))</f>
        <v>rg:None</v>
      </c>
      <c r="F19" t="str">
        <f>IF(ISBLANK(ProjPhases!E19),"rg:None",TEXT(ProjPhases!E19,"YYYY-MM-DDTHH:mm:SS.000Z"))</f>
        <v>rg:None</v>
      </c>
      <c r="G19" t="str">
        <f>IF(ISBLANK(ProjPhases!F19),"rg:None",TEXT(ProjPhases!F19,"YYYY-MM-DDTHH:mm:SS.000Z"))</f>
        <v>rg:None</v>
      </c>
      <c r="H19" t="str">
        <f>IF(ISBLANK(ProjPhases!G19),"rg:None",TEXT(ProjPhases!G19,"YYYY-MM-DDTHH:mm:SS.000Z"))</f>
        <v>rg:None</v>
      </c>
      <c r="I19" t="str">
        <f>IF(ISBLANK(ProjPhases!H19),"rg:None",TEXT(ProjPhases!H19,"YYYY-MM-DDTHH:mm:SS.000Z"))</f>
        <v>rg:None</v>
      </c>
    </row>
    <row r="20" spans="1:9" x14ac:dyDescent="0.35">
      <c r="A20" t="str">
        <f>IF(ISBLANK(ProjPhases!A20),"-", ProjPhases!A20)</f>
        <v>-</v>
      </c>
      <c r="B20" t="e">
        <f>VLOOKUP(C20,Codes!I:J,2,FALSE)</f>
        <v>#N/A</v>
      </c>
      <c r="C20">
        <f>ProjPhases!B20</f>
        <v>0</v>
      </c>
      <c r="D20">
        <f>ProjPhases!C20</f>
        <v>0</v>
      </c>
      <c r="E20" t="str">
        <f>IF(ISBLANK(ProjPhases!D20),"rg:None",TEXT(ProjPhases!D20,"YYYY-MM-DDTHH:mm:SS.000Z"))</f>
        <v>rg:None</v>
      </c>
      <c r="F20" t="str">
        <f>IF(ISBLANK(ProjPhases!E20),"rg:None",TEXT(ProjPhases!E20,"YYYY-MM-DDTHH:mm:SS.000Z"))</f>
        <v>rg:None</v>
      </c>
      <c r="G20" t="str">
        <f>IF(ISBLANK(ProjPhases!F20),"rg:None",TEXT(ProjPhases!F20,"YYYY-MM-DDTHH:mm:SS.000Z"))</f>
        <v>rg:None</v>
      </c>
      <c r="H20" t="str">
        <f>IF(ISBLANK(ProjPhases!G20),"rg:None",TEXT(ProjPhases!G20,"YYYY-MM-DDTHH:mm:SS.000Z"))</f>
        <v>rg:None</v>
      </c>
      <c r="I20" t="str">
        <f>IF(ISBLANK(ProjPhases!H20),"rg:None",TEXT(ProjPhases!H20,"YYYY-MM-DDTHH:mm:SS.000Z"))</f>
        <v>rg:None</v>
      </c>
    </row>
    <row r="21" spans="1:9" x14ac:dyDescent="0.35">
      <c r="A21" t="str">
        <f>IF(ISBLANK(ProjPhases!A21),"-", ProjPhases!A21)</f>
        <v>-</v>
      </c>
      <c r="B21" t="e">
        <f>VLOOKUP(C21,Codes!I:J,2,FALSE)</f>
        <v>#N/A</v>
      </c>
      <c r="C21">
        <f>ProjPhases!B21</f>
        <v>0</v>
      </c>
      <c r="D21">
        <f>ProjPhases!C21</f>
        <v>0</v>
      </c>
      <c r="E21" t="str">
        <f>IF(ISBLANK(ProjPhases!D21),"rg:None",TEXT(ProjPhases!D21,"YYYY-MM-DDTHH:mm:SS.000Z"))</f>
        <v>rg:None</v>
      </c>
      <c r="F21" t="str">
        <f>IF(ISBLANK(ProjPhases!E21),"rg:None",TEXT(ProjPhases!E21,"YYYY-MM-DDTHH:mm:SS.000Z"))</f>
        <v>rg:None</v>
      </c>
      <c r="G21" t="str">
        <f>IF(ISBLANK(ProjPhases!F21),"rg:None",TEXT(ProjPhases!F21,"YYYY-MM-DDTHH:mm:SS.000Z"))</f>
        <v>rg:None</v>
      </c>
      <c r="H21" t="str">
        <f>IF(ISBLANK(ProjPhases!G21),"rg:None",TEXT(ProjPhases!G21,"YYYY-MM-DDTHH:mm:SS.000Z"))</f>
        <v>rg:None</v>
      </c>
      <c r="I21" t="str">
        <f>IF(ISBLANK(ProjPhases!H21),"rg:None",TEXT(ProjPhases!H21,"YYYY-MM-DDTHH:mm:SS.000Z"))</f>
        <v>rg:None</v>
      </c>
    </row>
    <row r="22" spans="1:9" x14ac:dyDescent="0.35">
      <c r="A22" t="str">
        <f>IF(ISBLANK(ProjPhases!A22),"-", ProjPhases!A22)</f>
        <v>-</v>
      </c>
      <c r="B22" t="e">
        <f>VLOOKUP(C22,Codes!I:J,2,FALSE)</f>
        <v>#N/A</v>
      </c>
      <c r="C22">
        <f>ProjPhases!B22</f>
        <v>0</v>
      </c>
      <c r="D22">
        <f>ProjPhases!C22</f>
        <v>0</v>
      </c>
      <c r="E22" t="str">
        <f>IF(ISBLANK(ProjPhases!D22),"rg:None",TEXT(ProjPhases!D22,"YYYY-MM-DDTHH:mm:SS.000Z"))</f>
        <v>rg:None</v>
      </c>
      <c r="F22" t="str">
        <f>IF(ISBLANK(ProjPhases!E22),"rg:None",TEXT(ProjPhases!E22,"YYYY-MM-DDTHH:mm:SS.000Z"))</f>
        <v>rg:None</v>
      </c>
      <c r="G22" t="str">
        <f>IF(ISBLANK(ProjPhases!F22),"rg:None",TEXT(ProjPhases!F22,"YYYY-MM-DDTHH:mm:SS.000Z"))</f>
        <v>rg:None</v>
      </c>
      <c r="H22" t="str">
        <f>IF(ISBLANK(ProjPhases!G22),"rg:None",TEXT(ProjPhases!G22,"YYYY-MM-DDTHH:mm:SS.000Z"))</f>
        <v>rg:None</v>
      </c>
      <c r="I22" t="str">
        <f>IF(ISBLANK(ProjPhases!H22),"rg:None",TEXT(ProjPhases!H22,"YYYY-MM-DDTHH:mm:SS.000Z"))</f>
        <v>rg:None</v>
      </c>
    </row>
    <row r="23" spans="1:9" x14ac:dyDescent="0.35">
      <c r="A23" t="str">
        <f>IF(ISBLANK(ProjPhases!A23),"-", ProjPhases!A23)</f>
        <v>-</v>
      </c>
      <c r="B23" t="e">
        <f>VLOOKUP(C23,Codes!I:J,2,FALSE)</f>
        <v>#N/A</v>
      </c>
      <c r="C23">
        <f>ProjPhases!B23</f>
        <v>0</v>
      </c>
      <c r="D23">
        <f>ProjPhases!C23</f>
        <v>0</v>
      </c>
      <c r="E23" t="str">
        <f>IF(ISBLANK(ProjPhases!D23),"rg:None",TEXT(ProjPhases!D23,"YYYY-MM-DDTHH:mm:SS.000Z"))</f>
        <v>rg:None</v>
      </c>
      <c r="F23" t="str">
        <f>IF(ISBLANK(ProjPhases!E23),"rg:None",TEXT(ProjPhases!E23,"YYYY-MM-DDTHH:mm:SS.000Z"))</f>
        <v>rg:None</v>
      </c>
      <c r="G23" t="str">
        <f>IF(ISBLANK(ProjPhases!F23),"rg:None",TEXT(ProjPhases!F23,"YYYY-MM-DDTHH:mm:SS.000Z"))</f>
        <v>rg:None</v>
      </c>
      <c r="H23" t="str">
        <f>IF(ISBLANK(ProjPhases!G23),"rg:None",TEXT(ProjPhases!G23,"YYYY-MM-DDTHH:mm:SS.000Z"))</f>
        <v>rg:None</v>
      </c>
      <c r="I23" t="str">
        <f>IF(ISBLANK(ProjPhases!H23),"rg:None",TEXT(ProjPhases!H23,"YYYY-MM-DDTHH:mm:SS.000Z"))</f>
        <v>rg:None</v>
      </c>
    </row>
    <row r="24" spans="1:9" x14ac:dyDescent="0.35">
      <c r="A24" t="str">
        <f>IF(ISBLANK(ProjPhases!A24),"-", ProjPhases!A24)</f>
        <v>-</v>
      </c>
      <c r="B24" t="e">
        <f>VLOOKUP(C24,Codes!I:J,2,FALSE)</f>
        <v>#N/A</v>
      </c>
      <c r="C24">
        <f>ProjPhases!B24</f>
        <v>0</v>
      </c>
      <c r="D24">
        <f>ProjPhases!C24</f>
        <v>0</v>
      </c>
      <c r="E24" t="str">
        <f>IF(ISBLANK(ProjPhases!D24),"rg:None",TEXT(ProjPhases!D24,"YYYY-MM-DDTHH:mm:SS.000Z"))</f>
        <v>rg:None</v>
      </c>
      <c r="F24" t="str">
        <f>IF(ISBLANK(ProjPhases!E24),"rg:None",TEXT(ProjPhases!E24,"YYYY-MM-DDTHH:mm:SS.000Z"))</f>
        <v>rg:None</v>
      </c>
      <c r="G24" t="str">
        <f>IF(ISBLANK(ProjPhases!F24),"rg:None",TEXT(ProjPhases!F24,"YYYY-MM-DDTHH:mm:SS.000Z"))</f>
        <v>rg:None</v>
      </c>
      <c r="H24" t="str">
        <f>IF(ISBLANK(ProjPhases!G24),"rg:None",TEXT(ProjPhases!G24,"YYYY-MM-DDTHH:mm:SS.000Z"))</f>
        <v>rg:None</v>
      </c>
      <c r="I24" t="str">
        <f>IF(ISBLANK(ProjPhases!H24),"rg:None",TEXT(ProjPhases!H24,"YYYY-MM-DDTHH:mm:SS.000Z"))</f>
        <v>rg:None</v>
      </c>
    </row>
    <row r="25" spans="1:9" x14ac:dyDescent="0.35">
      <c r="A25" t="str">
        <f>IF(ISBLANK(ProjPhases!A25),"-", ProjPhases!A25)</f>
        <v>-</v>
      </c>
      <c r="B25" t="e">
        <f>VLOOKUP(C25,Codes!I:J,2,FALSE)</f>
        <v>#N/A</v>
      </c>
      <c r="C25">
        <f>ProjPhases!B25</f>
        <v>0</v>
      </c>
      <c r="D25">
        <f>ProjPhases!C25</f>
        <v>0</v>
      </c>
      <c r="E25" t="str">
        <f>IF(ISBLANK(ProjPhases!D25),"rg:None",TEXT(ProjPhases!D25,"YYYY-MM-DDTHH:mm:SS.000Z"))</f>
        <v>rg:None</v>
      </c>
      <c r="F25" t="str">
        <f>IF(ISBLANK(ProjPhases!E25),"rg:None",TEXT(ProjPhases!E25,"YYYY-MM-DDTHH:mm:SS.000Z"))</f>
        <v>rg:None</v>
      </c>
      <c r="G25" t="str">
        <f>IF(ISBLANK(ProjPhases!F25),"rg:None",TEXT(ProjPhases!F25,"YYYY-MM-DDTHH:mm:SS.000Z"))</f>
        <v>rg:None</v>
      </c>
      <c r="H25" t="str">
        <f>IF(ISBLANK(ProjPhases!G25),"rg:None",TEXT(ProjPhases!G25,"YYYY-MM-DDTHH:mm:SS.000Z"))</f>
        <v>rg:None</v>
      </c>
      <c r="I25" t="str">
        <f>IF(ISBLANK(ProjPhases!H25),"rg:None",TEXT(ProjPhases!H25,"YYYY-MM-DDTHH:mm:SS.000Z"))</f>
        <v>rg:None</v>
      </c>
    </row>
    <row r="26" spans="1:9" x14ac:dyDescent="0.35">
      <c r="A26" t="str">
        <f>IF(ISBLANK(ProjPhases!A26),"-", ProjPhases!A26)</f>
        <v>-</v>
      </c>
      <c r="B26" t="e">
        <f>VLOOKUP(C26,Codes!I:J,2,FALSE)</f>
        <v>#N/A</v>
      </c>
      <c r="C26">
        <f>ProjPhases!B26</f>
        <v>0</v>
      </c>
      <c r="D26">
        <f>ProjPhases!C26</f>
        <v>0</v>
      </c>
      <c r="E26" t="str">
        <f>IF(ISBLANK(ProjPhases!D26),"rg:None",TEXT(ProjPhases!D26,"YYYY-MM-DDTHH:mm:SS.000Z"))</f>
        <v>rg:None</v>
      </c>
      <c r="F26" t="str">
        <f>IF(ISBLANK(ProjPhases!E26),"rg:None",TEXT(ProjPhases!E26,"YYYY-MM-DDTHH:mm:SS.000Z"))</f>
        <v>rg:None</v>
      </c>
      <c r="G26" t="str">
        <f>IF(ISBLANK(ProjPhases!F26),"rg:None",TEXT(ProjPhases!F26,"YYYY-MM-DDTHH:mm:SS.000Z"))</f>
        <v>rg:None</v>
      </c>
      <c r="H26" t="str">
        <f>IF(ISBLANK(ProjPhases!G26),"rg:None",TEXT(ProjPhases!G26,"YYYY-MM-DDTHH:mm:SS.000Z"))</f>
        <v>rg:None</v>
      </c>
      <c r="I26" t="str">
        <f>IF(ISBLANK(ProjPhases!H26),"rg:None",TEXT(ProjPhases!H26,"YYYY-MM-DDTHH:mm:SS.000Z"))</f>
        <v>rg:None</v>
      </c>
    </row>
    <row r="27" spans="1:9" x14ac:dyDescent="0.35">
      <c r="A27" t="str">
        <f>IF(ISBLANK(ProjPhases!A27),"-", ProjPhases!A27)</f>
        <v>-</v>
      </c>
      <c r="B27" t="e">
        <f>VLOOKUP(C27,Codes!I:J,2,FALSE)</f>
        <v>#N/A</v>
      </c>
      <c r="C27">
        <f>ProjPhases!B27</f>
        <v>0</v>
      </c>
      <c r="D27">
        <f>ProjPhases!C27</f>
        <v>0</v>
      </c>
      <c r="E27" t="str">
        <f>IF(ISBLANK(ProjPhases!D27),"rg:None",TEXT(ProjPhases!D27,"YYYY-MM-DDTHH:mm:SS.000Z"))</f>
        <v>rg:None</v>
      </c>
      <c r="F27" t="str">
        <f>IF(ISBLANK(ProjPhases!E27),"rg:None",TEXT(ProjPhases!E27,"YYYY-MM-DDTHH:mm:SS.000Z"))</f>
        <v>rg:None</v>
      </c>
      <c r="G27" t="str">
        <f>IF(ISBLANK(ProjPhases!F27),"rg:None",TEXT(ProjPhases!F27,"YYYY-MM-DDTHH:mm:SS.000Z"))</f>
        <v>rg:None</v>
      </c>
      <c r="H27" t="str">
        <f>IF(ISBLANK(ProjPhases!G27),"rg:None",TEXT(ProjPhases!G27,"YYYY-MM-DDTHH:mm:SS.000Z"))</f>
        <v>rg:None</v>
      </c>
      <c r="I27" t="str">
        <f>IF(ISBLANK(ProjPhases!H27),"rg:None",TEXT(ProjPhases!H27,"YYYY-MM-DDTHH:mm:SS.000Z"))</f>
        <v>rg:None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9"/>
  <sheetViews>
    <sheetView workbookViewId="0">
      <pane ySplit="1" topLeftCell="A2" activePane="bottomLeft" state="frozen"/>
      <selection pane="bottomLeft" activeCell="E18" sqref="E18"/>
    </sheetView>
  </sheetViews>
  <sheetFormatPr defaultRowHeight="15.5" x14ac:dyDescent="0.35"/>
  <cols>
    <col min="4" max="4" width="27.5" bestFit="1" customWidth="1"/>
    <col min="5" max="5" width="26.58203125" bestFit="1" customWidth="1"/>
  </cols>
  <sheetData>
    <row r="1" spans="1:5" x14ac:dyDescent="0.35">
      <c r="A1" t="s">
        <v>0</v>
      </c>
      <c r="B1" t="s">
        <v>3</v>
      </c>
      <c r="C1" t="s">
        <v>329</v>
      </c>
      <c r="D1" t="s">
        <v>2</v>
      </c>
      <c r="E1" t="s">
        <v>330</v>
      </c>
    </row>
    <row r="2" spans="1:5" x14ac:dyDescent="0.35">
      <c r="A2" t="str">
        <f>IF(ISBLANK(Visibility!A2),"-",Visibility!A2)</f>
        <v>eaoonly</v>
      </c>
      <c r="B2" t="str">
        <f>LOWER(Visibility!B2)</f>
        <v>group</v>
      </c>
      <c r="C2" t="str">
        <f>IF(B2 = "group", Visibility!C2, "rg:None")</f>
        <v>EAO</v>
      </c>
      <c r="D2" t="str">
        <f>IF(B2 = "group", "rg:None", Visibility!C2)</f>
        <v>rg:None</v>
      </c>
      <c r="E2" t="str">
        <f>IF(B2 = "group", "rg:None", Visibility!D2)</f>
        <v>rg:None</v>
      </c>
    </row>
    <row r="3" spans="1:5" x14ac:dyDescent="0.35">
      <c r="A3" t="str">
        <f>IF(ISBLANK(Visibility!A3),"-",Visibility!A3)</f>
        <v>eaoonly</v>
      </c>
      <c r="B3" t="str">
        <f>LOWER(Visibility!B3)</f>
        <v>email</v>
      </c>
      <c r="C3" t="str">
        <f>IF(B3 = "group", Visibility!C3, "rg:None")</f>
        <v>rg:None</v>
      </c>
      <c r="D3" t="str">
        <f>IF(B3 = "group", "rg:None", Visibility!C3)</f>
        <v>Cary Sechrist</v>
      </c>
      <c r="E3" t="str">
        <f>IF(B3 = "group", "rg:None", Visibility!D3)</f>
        <v>CaryXSechrist@jourrapide.com</v>
      </c>
    </row>
    <row r="4" spans="1:5" x14ac:dyDescent="0.35">
      <c r="A4" t="str">
        <f>IF(ISBLANK(Visibility!A4),"-",Visibility!A4)</f>
        <v>eaoprop</v>
      </c>
      <c r="B4" t="str">
        <f>LOWER(Visibility!B4)</f>
        <v>group</v>
      </c>
      <c r="C4" t="str">
        <f>IF(B4 = "group", Visibility!C4, "rg:None")</f>
        <v>EAO</v>
      </c>
      <c r="D4" t="str">
        <f>IF(B4 = "group", "rg:None", Visibility!C4)</f>
        <v>rg:None</v>
      </c>
      <c r="E4" t="str">
        <f>IF(B4 = "group", "rg:None", Visibility!D4)</f>
        <v>rg:None</v>
      </c>
    </row>
    <row r="5" spans="1:5" x14ac:dyDescent="0.35">
      <c r="A5" t="str">
        <f>IF(ISBLANK(Visibility!A5),"-",Visibility!A5)</f>
        <v>eaoprop</v>
      </c>
      <c r="B5" t="str">
        <f>LOWER(Visibility!B5)</f>
        <v>group</v>
      </c>
      <c r="C5" t="str">
        <f>IF(B5 = "group", Visibility!C5, "rg:None")</f>
        <v>Proponent</v>
      </c>
      <c r="D5" t="str">
        <f>IF(B5 = "group", "rg:None", Visibility!C5)</f>
        <v>rg:None</v>
      </c>
      <c r="E5" t="str">
        <f>IF(B5 = "group", "rg:None", Visibility!D5)</f>
        <v>rg:None</v>
      </c>
    </row>
    <row r="6" spans="1:5" x14ac:dyDescent="0.35">
      <c r="A6" t="str">
        <f>IF(ISBLANK(Visibility!A6),"-",Visibility!A6)</f>
        <v>eaowg</v>
      </c>
      <c r="B6" t="str">
        <f>LOWER(Visibility!B6)</f>
        <v>group</v>
      </c>
      <c r="C6" t="str">
        <f>IF(B6 = "group", Visibility!C6, "rg:None")</f>
        <v>EAO</v>
      </c>
      <c r="D6" t="str">
        <f>IF(B6 = "group", "rg:None", Visibility!C6)</f>
        <v>rg:None</v>
      </c>
      <c r="E6" t="str">
        <f>IF(B6 = "group", "rg:None", Visibility!D6)</f>
        <v>rg:None</v>
      </c>
    </row>
    <row r="7" spans="1:5" x14ac:dyDescent="0.35">
      <c r="A7" t="str">
        <f>IF(ISBLANK(Visibility!A7),"-",Visibility!A7)</f>
        <v>eaowg</v>
      </c>
      <c r="B7" t="str">
        <f>LOWER(Visibility!B7)</f>
        <v>group</v>
      </c>
      <c r="C7" t="str">
        <f>IF(B7 = "group", Visibility!C7, "rg:None")</f>
        <v>WG</v>
      </c>
      <c r="D7" t="str">
        <f>IF(B7 = "group", "rg:None", Visibility!C7)</f>
        <v>rg:None</v>
      </c>
      <c r="E7" t="str">
        <f>IF(B7 = "group", "rg:None", Visibility!D7)</f>
        <v>rg:None</v>
      </c>
    </row>
    <row r="8" spans="1:5" x14ac:dyDescent="0.35">
      <c r="A8" t="str">
        <f>IF(ISBLANK(Visibility!A8),"-",Visibility!A8)</f>
        <v>all</v>
      </c>
      <c r="B8" t="str">
        <f>LOWER(Visibility!B8)</f>
        <v>group</v>
      </c>
      <c r="C8" t="str">
        <f>IF(B8 = "group", Visibility!C8, "rg:None")</f>
        <v>Proponent</v>
      </c>
      <c r="D8" t="str">
        <f>IF(B8 = "group", "rg:None", Visibility!C8)</f>
        <v>rg:None</v>
      </c>
      <c r="E8" t="str">
        <f>IF(B8 = "group", "rg:None", Visibility!D8)</f>
        <v>rg:None</v>
      </c>
    </row>
    <row r="9" spans="1:5" x14ac:dyDescent="0.35">
      <c r="A9" t="str">
        <f>IF(ISBLANK(Visibility!A9),"-",Visibility!A9)</f>
        <v>all</v>
      </c>
      <c r="B9" t="str">
        <f>LOWER(Visibility!B9)</f>
        <v>group</v>
      </c>
      <c r="C9" t="str">
        <f>IF(B9 = "group", Visibility!C9, "rg:None")</f>
        <v>EAO</v>
      </c>
      <c r="D9" t="str">
        <f>IF(B9 = "group", "rg:None", Visibility!C9)</f>
        <v>rg:None</v>
      </c>
      <c r="E9" t="str">
        <f>IF(B9 = "group", "rg:None", Visibility!D9)</f>
        <v>rg:None</v>
      </c>
    </row>
    <row r="10" spans="1:5" x14ac:dyDescent="0.35">
      <c r="A10" t="str">
        <f>IF(ISBLANK(Visibility!A10),"-",Visibility!A10)</f>
        <v>all</v>
      </c>
      <c r="B10" t="str">
        <f>LOWER(Visibility!B10)</f>
        <v>group</v>
      </c>
      <c r="C10" t="str">
        <f>IF(B10 = "group", Visibility!C10, "rg:None")</f>
        <v>WG</v>
      </c>
      <c r="D10" t="str">
        <f>IF(B10 = "group", "rg:None", Visibility!C10)</f>
        <v>rg:None</v>
      </c>
      <c r="E10" t="str">
        <f>IF(B10 = "group", "rg:None", Visibility!D10)</f>
        <v>rg:None</v>
      </c>
    </row>
    <row r="11" spans="1:5" x14ac:dyDescent="0.35">
      <c r="A11" t="str">
        <f>IF(ISBLANK(Visibility!A11),"-",Visibility!A11)</f>
        <v>proponly</v>
      </c>
      <c r="B11" t="str">
        <f>LOWER(Visibility!B11)</f>
        <v>group</v>
      </c>
      <c r="C11" t="str">
        <f>IF(B11 = "group", Visibility!C11, "rg:None")</f>
        <v>Proponent</v>
      </c>
      <c r="D11" t="str">
        <f>IF(B11 = "group", "rg:None", Visibility!C11)</f>
        <v>rg:None</v>
      </c>
      <c r="E11" t="str">
        <f>IF(B11 = "group", "rg:None", Visibility!D11)</f>
        <v>rg:None</v>
      </c>
    </row>
    <row r="12" spans="1:5" x14ac:dyDescent="0.35">
      <c r="A12" t="str">
        <f>IF(ISBLANK(Visibility!A12),"-",Visibility!A12)</f>
        <v>proponly</v>
      </c>
      <c r="B12" t="str">
        <f>LOWER(Visibility!B12)</f>
        <v>email</v>
      </c>
      <c r="C12" t="str">
        <f>IF(B12 = "group", Visibility!C12, "rg:None")</f>
        <v>rg:None</v>
      </c>
      <c r="D12" t="str">
        <f>IF(B12 = "group", "rg:None", Visibility!C12)</f>
        <v>CaryXSechrist@jourrapide.com</v>
      </c>
      <c r="E12" t="str">
        <f>IF(B12 = "group", "rg:None", Visibility!D12)</f>
        <v>Cary Sechrist</v>
      </c>
    </row>
    <row r="13" spans="1:5" x14ac:dyDescent="0.35">
      <c r="A13" t="str">
        <f>IF(ISBLANK(Visibility!A13),"-",Visibility!A13)</f>
        <v>proponly</v>
      </c>
      <c r="B13" t="str">
        <f>LOWER(Visibility!B13)</f>
        <v>email</v>
      </c>
      <c r="C13" t="str">
        <f>IF(B13 = "group", Visibility!C13, "rg:None")</f>
        <v>rg:None</v>
      </c>
      <c r="D13" t="str">
        <f>IF(B13 = "group", "rg:None", Visibility!C13)</f>
        <v>RandyIConrad@dayrep.com</v>
      </c>
      <c r="E13" t="str">
        <f>IF(B13 = "group", "rg:None", Visibility!D13)</f>
        <v>Randy Conrad</v>
      </c>
    </row>
    <row r="14" spans="1:5" x14ac:dyDescent="0.35">
      <c r="A14" t="str">
        <f>IF(ISBLANK(Visibility!A14),"-",Visibility!A14)</f>
        <v>eaoonly</v>
      </c>
      <c r="B14" t="str">
        <f>LOWER(Visibility!B14)</f>
        <v>email</v>
      </c>
      <c r="C14" t="str">
        <f>IF(B14 = "group", Visibility!C14, "rg:None")</f>
        <v>rg:None</v>
      </c>
      <c r="D14" t="str">
        <f>IF(B14 = "group", "rg:None", Visibility!C14)</f>
        <v>LiliLNorrell@fleckens.hu</v>
      </c>
      <c r="E14" t="str">
        <f>IF(B14 = "group", "rg:None", Visibility!D14)</f>
        <v>Lili Norrell</v>
      </c>
    </row>
    <row r="15" spans="1:5" x14ac:dyDescent="0.35">
      <c r="A15" t="str">
        <f>IF(ISBLANK(Visibility!A15),"-",Visibility!A15)</f>
        <v>eaoonly</v>
      </c>
      <c r="B15" t="str">
        <f>LOWER(Visibility!B15)</f>
        <v>email</v>
      </c>
      <c r="C15" t="str">
        <f>IF(B15 = "group", Visibility!C15, "rg:None")</f>
        <v>rg:None</v>
      </c>
      <c r="D15" t="str">
        <f>IF(B15 = "group", "rg:None", Visibility!C15)</f>
        <v>WilliamSButler@einrot.com</v>
      </c>
      <c r="E15" t="str">
        <f>IF(B15 = "group", "rg:None", Visibility!D15)</f>
        <v>William Butler</v>
      </c>
    </row>
    <row r="16" spans="1:5" x14ac:dyDescent="0.35">
      <c r="A16" t="str">
        <f>IF(ISBLANK(Visibility!A16),"-",Visibility!A16)</f>
        <v>eaoonly</v>
      </c>
      <c r="B16" t="str">
        <f>LOWER(Visibility!B16)</f>
        <v>email</v>
      </c>
      <c r="C16" t="str">
        <f>IF(B16 = "group", Visibility!C16, "rg:None")</f>
        <v>rg:None</v>
      </c>
      <c r="D16" t="str">
        <f>IF(B16 = "group", "rg:None", Visibility!C16)</f>
        <v>CeciliaFBrown@gustr.com</v>
      </c>
      <c r="E16" t="str">
        <f>IF(B16 = "group", "rg:None", Visibility!D16)</f>
        <v>Cecilia Brown</v>
      </c>
    </row>
    <row r="17" spans="1:5" x14ac:dyDescent="0.35">
      <c r="A17" t="str">
        <f>IF(ISBLANK(Visibility!A17),"-",Visibility!A17)</f>
        <v>eaoonly</v>
      </c>
      <c r="B17" t="str">
        <f>LOWER(Visibility!B17)</f>
        <v>email</v>
      </c>
      <c r="C17" t="str">
        <f>IF(B17 = "group", Visibility!C17, "rg:None")</f>
        <v>rg:None</v>
      </c>
      <c r="D17" t="str">
        <f>IF(B17 = "group", "rg:None", Visibility!C17)</f>
        <v>RachelJWinston@superrito.com</v>
      </c>
      <c r="E17" t="str">
        <f>IF(B17 = "group", "rg:None", Visibility!D17)</f>
        <v>Rachel Winston</v>
      </c>
    </row>
    <row r="18" spans="1:5" x14ac:dyDescent="0.35">
      <c r="A18" t="str">
        <f>IF(ISBLANK(Visibility!A18),"-",Visibility!A18)</f>
        <v>eaoprop</v>
      </c>
      <c r="B18" t="str">
        <f>LOWER(Visibility!B18)</f>
        <v>email</v>
      </c>
      <c r="C18" t="str">
        <f>IF(B18 = "group", Visibility!C18, "rg:None")</f>
        <v>rg:None</v>
      </c>
      <c r="D18" t="str">
        <f>IF(B18 = "group", "rg:None", Visibility!C18)</f>
        <v>CaryXSechrist@jourrapide.com</v>
      </c>
      <c r="E18" t="str">
        <f>IF(B18 = "group", "rg:None", Visibility!D18)</f>
        <v>Cary Sechrist</v>
      </c>
    </row>
    <row r="19" spans="1:5" x14ac:dyDescent="0.35">
      <c r="A19" t="str">
        <f>IF(ISBLANK(Visibility!A19),"-",Visibility!A19)</f>
        <v>eaoprop</v>
      </c>
      <c r="B19" t="str">
        <f>LOWER(Visibility!B19)</f>
        <v>email</v>
      </c>
      <c r="C19" t="str">
        <f>IF(B19 = "group", Visibility!C19, "rg:None")</f>
        <v>rg:None</v>
      </c>
      <c r="D19" t="str">
        <f>IF(B19 = "group", "rg:None", Visibility!C19)</f>
        <v>RandyIConrad@dayrep.com</v>
      </c>
      <c r="E19" t="str">
        <f>IF(B19 = "group", "rg:None", Visibility!D19)</f>
        <v>Randy Conrad</v>
      </c>
    </row>
    <row r="20" spans="1:5" x14ac:dyDescent="0.35">
      <c r="A20" t="str">
        <f>IF(ISBLANK(Visibility!A20),"-",Visibility!A20)</f>
        <v>eaoprop</v>
      </c>
      <c r="B20" t="str">
        <f>LOWER(Visibility!B20)</f>
        <v>email</v>
      </c>
      <c r="C20" t="str">
        <f>IF(B20 = "group", Visibility!C20, "rg:None")</f>
        <v>rg:None</v>
      </c>
      <c r="D20" t="str">
        <f>IF(B20 = "group", "rg:None", Visibility!C20)</f>
        <v>LiliLNorrell@fleckens.hu</v>
      </c>
      <c r="E20" t="str">
        <f>IF(B20 = "group", "rg:None", Visibility!D20)</f>
        <v>Lili Norrell</v>
      </c>
    </row>
    <row r="21" spans="1:5" x14ac:dyDescent="0.35">
      <c r="A21" t="str">
        <f>IF(ISBLANK(Visibility!A21),"-",Visibility!A21)</f>
        <v>eaoprop</v>
      </c>
      <c r="B21" t="str">
        <f>LOWER(Visibility!B21)</f>
        <v>email</v>
      </c>
      <c r="C21" t="str">
        <f>IF(B21 = "group", Visibility!C21, "rg:None")</f>
        <v>rg:None</v>
      </c>
      <c r="D21" t="str">
        <f>IF(B21 = "group", "rg:None", Visibility!C21)</f>
        <v>WilliamSButler@einrot.com</v>
      </c>
      <c r="E21" t="str">
        <f>IF(B21 = "group", "rg:None", Visibility!D21)</f>
        <v>William Butler</v>
      </c>
    </row>
    <row r="22" spans="1:5" x14ac:dyDescent="0.35">
      <c r="A22" t="str">
        <f>IF(ISBLANK(Visibility!A22),"-",Visibility!A22)</f>
        <v>eaoprop</v>
      </c>
      <c r="B22" t="str">
        <f>LOWER(Visibility!B22)</f>
        <v>email</v>
      </c>
      <c r="C22" t="str">
        <f>IF(B22 = "group", Visibility!C22, "rg:None")</f>
        <v>rg:None</v>
      </c>
      <c r="D22" t="str">
        <f>IF(B22 = "group", "rg:None", Visibility!C22)</f>
        <v>CeciliaFBrown@gustr.com</v>
      </c>
      <c r="E22" t="str">
        <f>IF(B22 = "group", "rg:None", Visibility!D22)</f>
        <v>Cecilia Brown</v>
      </c>
    </row>
    <row r="23" spans="1:5" x14ac:dyDescent="0.35">
      <c r="A23" t="str">
        <f>IF(ISBLANK(Visibility!A23),"-",Visibility!A23)</f>
        <v>eaoprop</v>
      </c>
      <c r="B23" t="str">
        <f>LOWER(Visibility!B23)</f>
        <v>email</v>
      </c>
      <c r="C23" t="str">
        <f>IF(B23 = "group", Visibility!C23, "rg:None")</f>
        <v>rg:None</v>
      </c>
      <c r="D23" t="str">
        <f>IF(B23 = "group", "rg:None", Visibility!C23)</f>
        <v>RachelJWinston@superrito.com</v>
      </c>
      <c r="E23" t="str">
        <f>IF(B23 = "group", "rg:None", Visibility!D23)</f>
        <v>Rachel Winston</v>
      </c>
    </row>
    <row r="24" spans="1:5" x14ac:dyDescent="0.35">
      <c r="A24" t="str">
        <f>IF(ISBLANK(Visibility!A24),"-",Visibility!A24)</f>
        <v>eaowg</v>
      </c>
      <c r="B24" t="str">
        <f>LOWER(Visibility!B24)</f>
        <v>email</v>
      </c>
      <c r="C24" t="str">
        <f>IF(B24 = "group", Visibility!C24, "rg:None")</f>
        <v>rg:None</v>
      </c>
      <c r="D24" t="str">
        <f>IF(B24 = "group", "rg:None", Visibility!C24)</f>
        <v>LiliLNorrell@fleckens.hu</v>
      </c>
      <c r="E24" t="str">
        <f>IF(B24 = "group", "rg:None", Visibility!D24)</f>
        <v>Lili Norrell</v>
      </c>
    </row>
    <row r="25" spans="1:5" x14ac:dyDescent="0.35">
      <c r="A25" t="str">
        <f>IF(ISBLANK(Visibility!A25),"-",Visibility!A25)</f>
        <v>eaowg</v>
      </c>
      <c r="B25" t="str">
        <f>LOWER(Visibility!B25)</f>
        <v>email</v>
      </c>
      <c r="C25" t="str">
        <f>IF(B25 = "group", Visibility!C25, "rg:None")</f>
        <v>rg:None</v>
      </c>
      <c r="D25" t="str">
        <f>IF(B25 = "group", "rg:None", Visibility!C25)</f>
        <v>WilliamSButler@einrot.com</v>
      </c>
      <c r="E25" t="str">
        <f>IF(B25 = "group", "rg:None", Visibility!D25)</f>
        <v>William Butler</v>
      </c>
    </row>
    <row r="26" spans="1:5" x14ac:dyDescent="0.35">
      <c r="A26" t="str">
        <f>IF(ISBLANK(Visibility!A26),"-",Visibility!A26)</f>
        <v>eaowg</v>
      </c>
      <c r="B26" t="str">
        <f>LOWER(Visibility!B26)</f>
        <v>email</v>
      </c>
      <c r="C26" t="str">
        <f>IF(B26 = "group", Visibility!C26, "rg:None")</f>
        <v>rg:None</v>
      </c>
      <c r="D26" t="str">
        <f>IF(B26 = "group", "rg:None", Visibility!C26)</f>
        <v>CeciliaFBrown@gustr.com</v>
      </c>
      <c r="E26" t="str">
        <f>IF(B26 = "group", "rg:None", Visibility!D26)</f>
        <v>Cecilia Brown</v>
      </c>
    </row>
    <row r="27" spans="1:5" x14ac:dyDescent="0.35">
      <c r="A27" t="str">
        <f>IF(ISBLANK(Visibility!A27),"-",Visibility!A27)</f>
        <v>eaowg</v>
      </c>
      <c r="B27" t="str">
        <f>LOWER(Visibility!B27)</f>
        <v>email</v>
      </c>
      <c r="C27" t="str">
        <f>IF(B27 = "group", Visibility!C27, "rg:None")</f>
        <v>rg:None</v>
      </c>
      <c r="D27" t="str">
        <f>IF(B27 = "group", "rg:None", Visibility!C27)</f>
        <v>RachelJWinston@superrito.com</v>
      </c>
      <c r="E27" t="str">
        <f>IF(B27 = "group", "rg:None", Visibility!D27)</f>
        <v>Rachel Winston</v>
      </c>
    </row>
    <row r="28" spans="1:5" x14ac:dyDescent="0.35">
      <c r="A28" t="str">
        <f>IF(ISBLANK(Visibility!A28),"-",Visibility!A28)</f>
        <v>eaowg</v>
      </c>
      <c r="B28" t="str">
        <f>LOWER(Visibility!B28)</f>
        <v>email</v>
      </c>
      <c r="C28" t="str">
        <f>IF(B28 = "group", Visibility!C28, "rg:None")</f>
        <v>rg:None</v>
      </c>
      <c r="D28" t="str">
        <f>IF(B28 = "group", "rg:None", Visibility!C28)</f>
        <v>SuzanneFBoyd@jourrapide.com</v>
      </c>
      <c r="E28" t="str">
        <f>IF(B28 = "group", "rg:None", Visibility!D28)</f>
        <v>Suzanne Boyd</v>
      </c>
    </row>
    <row r="29" spans="1:5" x14ac:dyDescent="0.35">
      <c r="A29" t="str">
        <f>IF(ISBLANK(Visibility!A29),"-",Visibility!A29)</f>
        <v>eaowg</v>
      </c>
      <c r="B29" t="str">
        <f>LOWER(Visibility!B29)</f>
        <v>email</v>
      </c>
      <c r="C29" t="str">
        <f>IF(B29 = "group", Visibility!C29, "rg:None")</f>
        <v>rg:None</v>
      </c>
      <c r="D29" t="str">
        <f>IF(B29 = "group", "rg:None", Visibility!C29)</f>
        <v>LidiaSOtis@einrot.com</v>
      </c>
      <c r="E29" t="str">
        <f>IF(B29 = "group", "rg:None", Visibility!D29)</f>
        <v>Lidia Otis</v>
      </c>
    </row>
    <row r="30" spans="1:5" x14ac:dyDescent="0.35">
      <c r="A30" t="str">
        <f>IF(ISBLANK(Visibility!A30),"-",Visibility!A30)</f>
        <v>all</v>
      </c>
      <c r="B30" t="str">
        <f>LOWER(Visibility!B30)</f>
        <v>email</v>
      </c>
      <c r="C30" t="str">
        <f>IF(B30 = "group", Visibility!C30, "rg:None")</f>
        <v>rg:None</v>
      </c>
      <c r="D30" t="str">
        <f>IF(B30 = "group", "rg:None", Visibility!C30)</f>
        <v>SuzanneFBoyd@jourrapide.com</v>
      </c>
      <c r="E30" t="str">
        <f>IF(B30 = "group", "rg:None", Visibility!D30)</f>
        <v>Suzanne Boyd</v>
      </c>
    </row>
    <row r="31" spans="1:5" x14ac:dyDescent="0.35">
      <c r="A31" t="str">
        <f>IF(ISBLANK(Visibility!A31),"-",Visibility!A31)</f>
        <v>all</v>
      </c>
      <c r="B31" t="str">
        <f>LOWER(Visibility!B31)</f>
        <v>email</v>
      </c>
      <c r="C31" t="str">
        <f>IF(B31 = "group", Visibility!C31, "rg:None")</f>
        <v>rg:None</v>
      </c>
      <c r="D31" t="str">
        <f>IF(B31 = "group", "rg:None", Visibility!C31)</f>
        <v>LidiaSOtis@einrot.com</v>
      </c>
      <c r="E31" t="str">
        <f>IF(B31 = "group", "rg:None", Visibility!D31)</f>
        <v>Lidia Otis</v>
      </c>
    </row>
    <row r="32" spans="1:5" x14ac:dyDescent="0.35">
      <c r="A32" t="str">
        <f>IF(ISBLANK(Visibility!A32),"-",Visibility!A32)</f>
        <v>all</v>
      </c>
      <c r="B32" t="str">
        <f>LOWER(Visibility!B32)</f>
        <v>email</v>
      </c>
      <c r="C32" t="str">
        <f>IF(B32 = "group", Visibility!C32, "rg:None")</f>
        <v>rg:None</v>
      </c>
      <c r="D32" t="str">
        <f>IF(B32 = "group", "rg:None", Visibility!C32)</f>
        <v>CaryXSechrist@jourrapide.com</v>
      </c>
      <c r="E32" t="str">
        <f>IF(B32 = "group", "rg:None", Visibility!D32)</f>
        <v>Cary Sechrist</v>
      </c>
    </row>
    <row r="33" spans="1:5" x14ac:dyDescent="0.35">
      <c r="A33" t="str">
        <f>IF(ISBLANK(Visibility!A33),"-",Visibility!A33)</f>
        <v>all</v>
      </c>
      <c r="B33" t="str">
        <f>LOWER(Visibility!B33)</f>
        <v>email</v>
      </c>
      <c r="C33" t="str">
        <f>IF(B33 = "group", Visibility!C33, "rg:None")</f>
        <v>rg:None</v>
      </c>
      <c r="D33" t="str">
        <f>IF(B33 = "group", "rg:None", Visibility!C33)</f>
        <v>RandyIConrad@dayrep.com</v>
      </c>
      <c r="E33" t="str">
        <f>IF(B33 = "group", "rg:None", Visibility!D33)</f>
        <v>Randy Conrad</v>
      </c>
    </row>
    <row r="34" spans="1:5" x14ac:dyDescent="0.35">
      <c r="A34" t="str">
        <f>IF(ISBLANK(Visibility!A34),"-",Visibility!A34)</f>
        <v>all</v>
      </c>
      <c r="B34" t="str">
        <f>LOWER(Visibility!B34)</f>
        <v>email</v>
      </c>
      <c r="C34" t="str">
        <f>IF(B34 = "group", Visibility!C34, "rg:None")</f>
        <v>rg:None</v>
      </c>
      <c r="D34" t="str">
        <f>IF(B34 = "group", "rg:None", Visibility!C34)</f>
        <v>LiliLNorrell@fleckens.hu</v>
      </c>
      <c r="E34" t="str">
        <f>IF(B34 = "group", "rg:None", Visibility!D34)</f>
        <v>Lili Norrell</v>
      </c>
    </row>
    <row r="35" spans="1:5" x14ac:dyDescent="0.35">
      <c r="A35" t="str">
        <f>IF(ISBLANK(Visibility!A35),"-",Visibility!A35)</f>
        <v>all</v>
      </c>
      <c r="B35" t="str">
        <f>LOWER(Visibility!B35)</f>
        <v>email</v>
      </c>
      <c r="C35" t="str">
        <f>IF(B35 = "group", Visibility!C35, "rg:None")</f>
        <v>rg:None</v>
      </c>
      <c r="D35" t="str">
        <f>IF(B35 = "group", "rg:None", Visibility!C35)</f>
        <v>WilliamSButler@einrot.com</v>
      </c>
      <c r="E35" t="str">
        <f>IF(B35 = "group", "rg:None", Visibility!D35)</f>
        <v>William Butler</v>
      </c>
    </row>
    <row r="36" spans="1:5" x14ac:dyDescent="0.35">
      <c r="A36" t="str">
        <f>IF(ISBLANK(Visibility!A36),"-",Visibility!A36)</f>
        <v>all</v>
      </c>
      <c r="B36" t="str">
        <f>LOWER(Visibility!B36)</f>
        <v>email</v>
      </c>
      <c r="C36" t="str">
        <f>IF(B36 = "group", Visibility!C36, "rg:None")</f>
        <v>rg:None</v>
      </c>
      <c r="D36" t="str">
        <f>IF(B36 = "group", "rg:None", Visibility!C36)</f>
        <v>CeciliaFBrown@gustr.com</v>
      </c>
      <c r="E36" t="str">
        <f>IF(B36 = "group", "rg:None", Visibility!D36)</f>
        <v>Cecilia Brown</v>
      </c>
    </row>
    <row r="37" spans="1:5" x14ac:dyDescent="0.35">
      <c r="A37" t="str">
        <f>IF(ISBLANK(Visibility!A37),"-",Visibility!A37)</f>
        <v>all</v>
      </c>
      <c r="B37" t="str">
        <f>LOWER(Visibility!B37)</f>
        <v>email</v>
      </c>
      <c r="C37" t="str">
        <f>IF(B37 = "group", Visibility!C37, "rg:None")</f>
        <v>rg:None</v>
      </c>
      <c r="D37" t="str">
        <f>IF(B37 = "group", "rg:None", Visibility!C37)</f>
        <v>RachelJWinston@superrito.com</v>
      </c>
      <c r="E37" t="str">
        <f>IF(B37 = "group", "rg:None", Visibility!D37)</f>
        <v>Rachel Winston</v>
      </c>
    </row>
    <row r="38" spans="1:5" x14ac:dyDescent="0.35">
      <c r="A38" t="str">
        <f>IF(ISBLANK(Visibility!A38),"-",Visibility!A38)</f>
        <v>-</v>
      </c>
      <c r="B38" t="str">
        <f>LOWER(Visibility!B38)</f>
        <v/>
      </c>
      <c r="C38" t="str">
        <f>IF(B38 = "group", Visibility!C38, "rg:None")</f>
        <v>rg:None</v>
      </c>
      <c r="D38">
        <f>IF(B38 = "group", "rg:None", Visibility!C38)</f>
        <v>0</v>
      </c>
      <c r="E38">
        <f>IF(B38 = "group", "rg:None", Visibility!D38)</f>
        <v>0</v>
      </c>
    </row>
    <row r="39" spans="1:5" x14ac:dyDescent="0.35">
      <c r="A39" t="str">
        <f>IF(ISBLANK(Visibility!A39),"-",Visibility!A39)</f>
        <v>-</v>
      </c>
      <c r="B39" t="str">
        <f>LOWER(Visibility!B39)</f>
        <v/>
      </c>
      <c r="C39" t="str">
        <f>IF(B39 = "group", Visibility!C39, "rg:None")</f>
        <v>rg:None</v>
      </c>
      <c r="D39">
        <f>IF(B39 = "group", "rg:None", Visibility!C39)</f>
        <v>0</v>
      </c>
      <c r="E39">
        <f>IF(B39 = "group", "rg:None", Visibility!D39)</f>
        <v>0</v>
      </c>
    </row>
    <row r="40" spans="1:5" x14ac:dyDescent="0.35">
      <c r="A40" t="str">
        <f>IF(ISBLANK(Visibility!A40),"-",Visibility!A40)</f>
        <v>-</v>
      </c>
      <c r="B40" t="str">
        <f>LOWER(Visibility!B40)</f>
        <v/>
      </c>
      <c r="C40" t="str">
        <f>IF(B40 = "group", Visibility!C40, "rg:None")</f>
        <v>rg:None</v>
      </c>
      <c r="D40">
        <f>IF(B40 = "group", "rg:None", Visibility!C40)</f>
        <v>0</v>
      </c>
      <c r="E40">
        <f>IF(B40 = "group", "rg:None", Visibility!D40)</f>
        <v>0</v>
      </c>
    </row>
    <row r="41" spans="1:5" x14ac:dyDescent="0.35">
      <c r="A41" t="str">
        <f>IF(ISBLANK(Visibility!A41),"-",Visibility!A41)</f>
        <v>-</v>
      </c>
      <c r="B41" t="str">
        <f>LOWER(Visibility!B41)</f>
        <v/>
      </c>
      <c r="C41" t="str">
        <f>IF(B41 = "group", Visibility!C41, "rg:None")</f>
        <v>rg:None</v>
      </c>
      <c r="D41">
        <f>IF(B41 = "group", "rg:None", Visibility!C41)</f>
        <v>0</v>
      </c>
      <c r="E41">
        <f>IF(B41 = "group", "rg:None", Visibility!D41)</f>
        <v>0</v>
      </c>
    </row>
    <row r="42" spans="1:5" x14ac:dyDescent="0.35">
      <c r="A42" t="str">
        <f>IF(ISBLANK(Visibility!A42),"-",Visibility!A42)</f>
        <v>-</v>
      </c>
      <c r="B42" t="str">
        <f>LOWER(Visibility!B42)</f>
        <v/>
      </c>
      <c r="C42" t="str">
        <f>IF(B42 = "group", Visibility!C42, "rg:None")</f>
        <v>rg:None</v>
      </c>
      <c r="D42">
        <f>IF(B42 = "group", "rg:None", Visibility!C42)</f>
        <v>0</v>
      </c>
      <c r="E42">
        <f>IF(B42 = "group", "rg:None", Visibility!D42)</f>
        <v>0</v>
      </c>
    </row>
    <row r="43" spans="1:5" x14ac:dyDescent="0.35">
      <c r="A43" t="str">
        <f>IF(ISBLANK(Visibility!A43),"-",Visibility!A43)</f>
        <v>-</v>
      </c>
      <c r="B43" t="str">
        <f>LOWER(Visibility!B43)</f>
        <v/>
      </c>
      <c r="C43" t="str">
        <f>IF(B43 = "group", Visibility!C43, "rg:None")</f>
        <v>rg:None</v>
      </c>
      <c r="D43">
        <f>IF(B43 = "group", "rg:None", Visibility!C43)</f>
        <v>0</v>
      </c>
      <c r="E43">
        <f>IF(B43 = "group", "rg:None", Visibility!D43)</f>
        <v>0</v>
      </c>
    </row>
    <row r="44" spans="1:5" x14ac:dyDescent="0.35">
      <c r="A44" t="str">
        <f>IF(ISBLANK(Visibility!A44),"-",Visibility!A44)</f>
        <v>-</v>
      </c>
      <c r="B44" t="str">
        <f>LOWER(Visibility!B44)</f>
        <v/>
      </c>
      <c r="C44" t="str">
        <f>IF(B44 = "group", Visibility!C44, "rg:None")</f>
        <v>rg:None</v>
      </c>
      <c r="D44">
        <f>IF(B44 = "group", "rg:None", Visibility!C44)</f>
        <v>0</v>
      </c>
      <c r="E44">
        <f>IF(B44 = "group", "rg:None", Visibility!D44)</f>
        <v>0</v>
      </c>
    </row>
    <row r="45" spans="1:5" x14ac:dyDescent="0.35">
      <c r="A45" t="str">
        <f>IF(ISBLANK(Visibility!A45),"-",Visibility!A45)</f>
        <v>-</v>
      </c>
      <c r="B45" t="str">
        <f>LOWER(Visibility!B45)</f>
        <v/>
      </c>
      <c r="C45" t="str">
        <f>IF(B45 = "group", Visibility!C45, "rg:None")</f>
        <v>rg:None</v>
      </c>
      <c r="D45">
        <f>IF(B45 = "group", "rg:None", Visibility!C45)</f>
        <v>0</v>
      </c>
      <c r="E45">
        <f>IF(B45 = "group", "rg:None", Visibility!D45)</f>
        <v>0</v>
      </c>
    </row>
    <row r="46" spans="1:5" x14ac:dyDescent="0.35">
      <c r="A46" t="str">
        <f>IF(ISBLANK(Visibility!A46),"-",Visibility!A46)</f>
        <v>-</v>
      </c>
      <c r="B46" t="str">
        <f>LOWER(Visibility!B46)</f>
        <v/>
      </c>
      <c r="C46" t="str">
        <f>IF(B46 = "group", Visibility!C46, "rg:None")</f>
        <v>rg:None</v>
      </c>
      <c r="D46">
        <f>IF(B46 = "group", "rg:None", Visibility!C46)</f>
        <v>0</v>
      </c>
      <c r="E46">
        <f>IF(B46 = "group", "rg:None", Visibility!D46)</f>
        <v>0</v>
      </c>
    </row>
    <row r="47" spans="1:5" x14ac:dyDescent="0.35">
      <c r="A47" t="str">
        <f>IF(ISBLANK(Visibility!A47),"-",Visibility!A47)</f>
        <v>-</v>
      </c>
      <c r="B47" t="str">
        <f>LOWER(Visibility!B47)</f>
        <v/>
      </c>
      <c r="C47" t="str">
        <f>IF(B47 = "group", Visibility!C47, "rg:None")</f>
        <v>rg:None</v>
      </c>
      <c r="D47">
        <f>IF(B47 = "group", "rg:None", Visibility!C47)</f>
        <v>0</v>
      </c>
      <c r="E47">
        <f>IF(B47 = "group", "rg:None", Visibility!D47)</f>
        <v>0</v>
      </c>
    </row>
    <row r="48" spans="1:5" x14ac:dyDescent="0.35">
      <c r="A48" t="str">
        <f>IF(ISBLANK(Visibility!A48),"-",Visibility!A48)</f>
        <v>-</v>
      </c>
      <c r="B48" t="str">
        <f>LOWER(Visibility!B48)</f>
        <v/>
      </c>
      <c r="C48" t="str">
        <f>IF(B48 = "group", Visibility!C48, "rg:None")</f>
        <v>rg:None</v>
      </c>
      <c r="D48">
        <f>IF(B48 = "group", "rg:None", Visibility!C48)</f>
        <v>0</v>
      </c>
      <c r="E48">
        <f>IF(B48 = "group", "rg:None", Visibility!D48)</f>
        <v>0</v>
      </c>
    </row>
    <row r="49" spans="1:5" x14ac:dyDescent="0.35">
      <c r="A49" t="str">
        <f>IF(ISBLANK(Visibility!A49),"-",Visibility!A49)</f>
        <v>-</v>
      </c>
      <c r="B49" t="str">
        <f>LOWER(Visibility!B49)</f>
        <v/>
      </c>
      <c r="C49" t="str">
        <f>IF(B49 = "group", Visibility!C49, "rg:None")</f>
        <v>rg:None</v>
      </c>
      <c r="D49">
        <f>IF(B49 = "group", "rg:None", Visibility!C49)</f>
        <v>0</v>
      </c>
      <c r="E49">
        <f>IF(B49 = "group", "rg:None", Visibility!D49)</f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A2" sqref="A2"/>
    </sheetView>
  </sheetViews>
  <sheetFormatPr defaultRowHeight="15.5" x14ac:dyDescent="0.35"/>
  <cols>
    <col min="2" max="2" width="29.25" bestFit="1" customWidth="1"/>
  </cols>
  <sheetData>
    <row r="1" spans="1:2" x14ac:dyDescent="0.35">
      <c r="A1" t="s">
        <v>0</v>
      </c>
      <c r="B1" t="s">
        <v>331</v>
      </c>
    </row>
    <row r="2" spans="1:2" x14ac:dyDescent="0.35">
      <c r="A2" t="s">
        <v>307</v>
      </c>
      <c r="B2" t="str">
        <f>IF(ISBLANK(Activities!J2),"rg:[]","rg:dataset('visibility.csv','"&amp;Activities!J2&amp;"')")</f>
        <v>rg:dataset('visibility.csv','eaoonly')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6"/>
  <sheetViews>
    <sheetView zoomScaleNormal="100" workbookViewId="0">
      <pane ySplit="1" topLeftCell="A2" activePane="bottomLeft" state="frozen"/>
      <selection pane="bottomLeft" activeCell="F15" sqref="F15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8" width="22.58203125" bestFit="1" customWidth="1"/>
    <col min="9" max="9" width="18.58203125" bestFit="1" customWidth="1"/>
  </cols>
  <sheetData>
    <row r="1" spans="1:12" s="2" customFormat="1" x14ac:dyDescent="0.35">
      <c r="A1" s="2" t="s">
        <v>0</v>
      </c>
      <c r="B1" t="s">
        <v>30</v>
      </c>
      <c r="C1" t="s">
        <v>2</v>
      </c>
      <c r="D1" t="s">
        <v>15</v>
      </c>
      <c r="E1" t="s">
        <v>47</v>
      </c>
      <c r="F1" t="s">
        <v>48</v>
      </c>
      <c r="G1" t="s">
        <v>49</v>
      </c>
      <c r="H1" t="s">
        <v>50</v>
      </c>
      <c r="I1" t="s">
        <v>237</v>
      </c>
      <c r="J1" t="s">
        <v>18</v>
      </c>
      <c r="K1" t="s">
        <v>238</v>
      </c>
      <c r="L1" t="s">
        <v>17</v>
      </c>
    </row>
    <row r="2" spans="1:12" x14ac:dyDescent="0.35">
      <c r="A2" t="str">
        <f>IF(ISBLANK(Milestones!A2),"-", Milestones!A2)</f>
        <v>knob</v>
      </c>
      <c r="B2" t="str">
        <f>VLOOKUP(C2,Codes!A:B,2,FALSE)</f>
        <v>projectdescriptioncomplete</v>
      </c>
      <c r="C2" t="str">
        <f>Milestones!B2</f>
        <v>Project Description Complete</v>
      </c>
      <c r="D2" t="s">
        <v>242</v>
      </c>
      <c r="E2" t="str">
        <f ca="1">IF(ISBLANK(Milestones!C2),"rg:None",TEXT(Milestones!C2,"YYYY-MM-DDTHH:mm:SS.000Z"))</f>
        <v>2014-06-21T00:00:00.000Z</v>
      </c>
      <c r="F2" t="str">
        <f ca="1">IF(ISBLANK(Milestones!D2),"rg:None",TEXT(Milestones!$C2+Milestones!D2,"YYYY-MM-DDTHH:mm:SS.000Z"))</f>
        <v>2014-07-12T00:00:00.000Z</v>
      </c>
      <c r="G2" t="str">
        <f ca="1">IF(ISBLANK(Milestones!E2),"rg:None",TEXT(Milestones!$C2+Milestones!E2,"YYYY-MM-DDTHH:mm:SS.000Z"))</f>
        <v>2014-06-21T00:00:00.000Z</v>
      </c>
      <c r="H2" t="str">
        <f ca="1">IF(ISBLANK(Milestones!F2),"rg:None",TEXT(Milestones!$C2+Milestones!F2,"YYYY-MM-DDTHH:mm:SS.000Z"))</f>
        <v>2014-07-14T00:00:00.000Z</v>
      </c>
      <c r="I2" t="s">
        <v>242</v>
      </c>
      <c r="J2" t="s">
        <v>242</v>
      </c>
      <c r="K2" t="s">
        <v>242</v>
      </c>
      <c r="L2" t="s">
        <v>242</v>
      </c>
    </row>
    <row r="3" spans="1:12" x14ac:dyDescent="0.35">
      <c r="A3" t="str">
        <f>IF(ISBLANK(Milestones!A3),"-", Milestones!A3)</f>
        <v>knob</v>
      </c>
      <c r="B3" t="str">
        <f>VLOOKUP(C3,Codes!A:B,2,FALSE)</f>
        <v>section10complete</v>
      </c>
      <c r="C3" t="str">
        <f>Milestones!B3</f>
        <v>Section 10 Complete</v>
      </c>
      <c r="D3" t="s">
        <v>242</v>
      </c>
      <c r="E3" t="str">
        <f ca="1">IF(ISBLANK(Milestones!C3),"rg:None",TEXT(Milestones!C3,"YYYY-MM-DDTHH:mm:SS.000Z"))</f>
        <v>2014-07-12T00:00:00.000Z</v>
      </c>
      <c r="F3" t="str">
        <f ca="1">IF(ISBLANK(Milestones!D3),"rg:None",TEXT(Milestones!$C3+Milestones!D3,"YYYY-MM-DDTHH:mm:SS.000Z"))</f>
        <v>2014-08-23T00:00:00.000Z</v>
      </c>
      <c r="G3" t="str">
        <f ca="1">IF(ISBLANK(Milestones!E3),"rg:None",TEXT(Milestones!$C3+Milestones!E3,"YYYY-MM-DDTHH:mm:SS.000Z"))</f>
        <v>2014-07-20T00:00:00.000Z</v>
      </c>
      <c r="H3" t="str">
        <f ca="1">IF(ISBLANK(Milestones!F3),"rg:None",TEXT(Milestones!$C3+Milestones!F3,"YYYY-MM-DDTHH:mm:SS.000Z"))</f>
        <v>2014-08-21T00:00:00.000Z</v>
      </c>
      <c r="I3" t="s">
        <v>242</v>
      </c>
      <c r="J3" t="s">
        <v>242</v>
      </c>
      <c r="K3" t="s">
        <v>242</v>
      </c>
      <c r="L3" t="s">
        <v>242</v>
      </c>
    </row>
    <row r="4" spans="1:12" x14ac:dyDescent="0.35">
      <c r="A4" t="str">
        <f>IF(ISBLANK(Milestones!A4),"-", Milestones!A4)</f>
        <v>knob</v>
      </c>
      <c r="B4" t="str">
        <f>VLOOKUP(C4,Codes!A:B,2,FALSE)</f>
        <v>section11complete</v>
      </c>
      <c r="C4" t="str">
        <f>Milestones!B4</f>
        <v>Section 11 Complete</v>
      </c>
      <c r="D4" t="s">
        <v>242</v>
      </c>
      <c r="E4" t="str">
        <f ca="1">IF(ISBLANK(Milestones!C4),"rg:None",TEXT(Milestones!C4,"YYYY-MM-DDTHH:mm:SS.000Z"))</f>
        <v>2014-08-23T00:00:00.000Z</v>
      </c>
      <c r="F4" t="str">
        <f ca="1">IF(ISBLANK(Milestones!D4),"rg:None",TEXT(Milestones!$C4+Milestones!D4,"YYYY-MM-DDTHH:mm:SS.000Z"))</f>
        <v>2014-10-02T00:00:00.000Z</v>
      </c>
      <c r="G4" t="str">
        <f ca="1">IF(ISBLANK(Milestones!E4),"rg:None",TEXT(Milestones!$C4+Milestones!E4,"YYYY-MM-DDTHH:mm:SS.000Z"))</f>
        <v>2014-09-08T00:00:00.000Z</v>
      </c>
      <c r="H4" t="str">
        <f ca="1">IF(ISBLANK(Milestones!F4),"rg:None",TEXT(Milestones!$C4+Milestones!F4,"YYYY-MM-DDTHH:mm:SS.000Z"))</f>
        <v>2014-10-26T00:00:00.000Z</v>
      </c>
      <c r="I4" t="s">
        <v>242</v>
      </c>
      <c r="J4" t="s">
        <v>242</v>
      </c>
      <c r="K4" t="s">
        <v>242</v>
      </c>
      <c r="L4" t="s">
        <v>242</v>
      </c>
    </row>
    <row r="5" spans="1:12" x14ac:dyDescent="0.35">
      <c r="A5" t="str">
        <f>IF(ISBLANK(Milestones!A5),"-", Milestones!A5)</f>
        <v>knob</v>
      </c>
      <c r="B5" t="str">
        <f>VLOOKUP(C5,Codes!A:B,2,FALSE)</f>
        <v>draftaircomplete</v>
      </c>
      <c r="C5" t="str">
        <f>Milestones!B5</f>
        <v>Draft AIR Complete</v>
      </c>
      <c r="D5" t="s">
        <v>242</v>
      </c>
      <c r="E5" t="str">
        <f ca="1">IF(ISBLANK(Milestones!C5),"rg:None",TEXT(Milestones!C5,"YYYY-MM-DDTHH:mm:SS.000Z"))</f>
        <v>2014-10-02T00:00:00.000Z</v>
      </c>
      <c r="F5" t="str">
        <f ca="1">IF(ISBLANK(Milestones!D5),"rg:None",TEXT(Milestones!$C5+Milestones!D5,"YYYY-MM-DDTHH:mm:SS.000Z"))</f>
        <v>2014-11-01T00:00:00.000Z</v>
      </c>
      <c r="G5" t="str">
        <f ca="1">IF(ISBLANK(Milestones!E5),"rg:None",TEXT(Milestones!$C5+Milestones!E5,"YYYY-MM-DDTHH:mm:SS.000Z"))</f>
        <v>2014-11-11T00:00:00.000Z</v>
      </c>
      <c r="H5" t="str">
        <f ca="1">IF(ISBLANK(Milestones!F5),"rg:None",TEXT(Milestones!$C5+Milestones!F5,"YYYY-MM-DDTHH:mm:SS.000Z"))</f>
        <v>2014-12-16T00:00:00.000Z</v>
      </c>
      <c r="I5" t="s">
        <v>242</v>
      </c>
      <c r="J5" t="s">
        <v>242</v>
      </c>
      <c r="K5" t="s">
        <v>242</v>
      </c>
      <c r="L5" t="s">
        <v>242</v>
      </c>
    </row>
    <row r="6" spans="1:12" x14ac:dyDescent="0.35">
      <c r="A6" t="str">
        <f>IF(ISBLANK(Milestones!A6),"-", Milestones!A6)</f>
        <v>knob</v>
      </c>
      <c r="B6" t="str">
        <f>VLOOKUP(C6,Codes!A:B,2,FALSE)</f>
        <v>aircomplete</v>
      </c>
      <c r="C6" t="str">
        <f>Milestones!B6</f>
        <v>AIR Complete</v>
      </c>
      <c r="D6" t="s">
        <v>242</v>
      </c>
      <c r="E6" t="str">
        <f ca="1">IF(ISBLANK(Milestones!C6),"rg:None",TEXT(Milestones!C6,"YYYY-MM-DDTHH:mm:SS.000Z"))</f>
        <v>2014-11-01T00:00:00.000Z</v>
      </c>
      <c r="F6" t="str">
        <f ca="1">IF(ISBLANK(Milestones!D6),"rg:None",TEXT(Milestones!$C6+Milestones!D6,"YYYY-MM-DDTHH:mm:SS.000Z"))</f>
        <v>2014-12-21T00:00:00.000Z</v>
      </c>
      <c r="G6" t="str">
        <f ca="1">IF(ISBLANK(Milestones!E6),"rg:None",TEXT(Milestones!$C6+Milestones!E6,"YYYY-MM-DDTHH:mm:SS.000Z"))</f>
        <v>2014-12-26T00:00:00.000Z</v>
      </c>
      <c r="H6" t="str">
        <f ca="1">IF(ISBLANK(Milestones!F6),"rg:None",TEXT(Milestones!$C6+Milestones!F6,"YYYY-MM-DDTHH:mm:SS.000Z"))</f>
        <v>2015-03-04T00:00:00.000Z</v>
      </c>
      <c r="I6" t="s">
        <v>242</v>
      </c>
      <c r="J6" t="s">
        <v>242</v>
      </c>
      <c r="K6" t="s">
        <v>242</v>
      </c>
      <c r="L6" t="s">
        <v>242</v>
      </c>
    </row>
    <row r="7" spans="1:12" x14ac:dyDescent="0.35">
      <c r="A7" t="str">
        <f>IF(ISBLANK(Milestones!A7),"-", Milestones!A7)</f>
        <v>knob</v>
      </c>
      <c r="B7" t="str">
        <f>VLOOKUP(C7,Codes!A:B,2,FALSE)</f>
        <v>applicationsubmitted</v>
      </c>
      <c r="C7" t="str">
        <f>Milestones!B7</f>
        <v>Application Submitted</v>
      </c>
      <c r="D7" t="s">
        <v>242</v>
      </c>
      <c r="E7" t="str">
        <f ca="1">IF(ISBLANK(Milestones!C7),"rg:None",TEXT(Milestones!C7,"YYYY-MM-DDTHH:mm:SS.000Z"))</f>
        <v>2016-11-20T00:00:00.000Z</v>
      </c>
      <c r="F7" t="str">
        <f ca="1">IF(ISBLANK(Milestones!D7),"rg:None",TEXT(Milestones!$C7+Milestones!D7,"YYYY-MM-DDTHH:mm:SS.000Z"))</f>
        <v>2016-12-20T00:00:00.000Z</v>
      </c>
      <c r="G7" t="str">
        <f ca="1">IF(ISBLANK(Milestones!E7),"rg:None",TEXT(Milestones!$C7+Milestones!E7,"YYYY-MM-DDTHH:mm:SS.000Z"))</f>
        <v>2017-04-23T00:00:00.000Z</v>
      </c>
      <c r="H7" t="str">
        <f>IF(ISBLANK(Milestones!F7),"rg:None",TEXT(Milestones!$C7+Milestones!F7,"YYYY-MM-DDTHH:mm:SS.000Z"))</f>
        <v>rg:None</v>
      </c>
      <c r="I7" t="s">
        <v>242</v>
      </c>
      <c r="J7" t="s">
        <v>242</v>
      </c>
      <c r="K7" t="s">
        <v>242</v>
      </c>
      <c r="L7" t="s">
        <v>242</v>
      </c>
    </row>
    <row r="8" spans="1:12" x14ac:dyDescent="0.35">
      <c r="A8" t="str">
        <f>IF(ISBLANK(Milestones!A8),"-", Milestones!A8)</f>
        <v>knob</v>
      </c>
      <c r="B8" t="str">
        <f>VLOOKUP(C8,Codes!A:B,2,FALSE)</f>
        <v>evaluationcomplete</v>
      </c>
      <c r="C8" t="str">
        <f>Milestones!B8</f>
        <v>Evaluation Complete</v>
      </c>
      <c r="D8" t="s">
        <v>242</v>
      </c>
      <c r="E8" t="str">
        <f>IF(ISBLANK(Milestones!C8),"rg:None",TEXT(Milestones!C8,"YYYY-MM-DDTHH:mm:SS.000Z"))</f>
        <v>rg:None</v>
      </c>
      <c r="F8" t="str">
        <f>IF(ISBLANK(Milestones!D8),"rg:None",TEXT(Milestones!$C8+Milestones!D8,"YYYY-MM-DDTHH:mm:SS.000Z"))</f>
        <v>rg:None</v>
      </c>
      <c r="G8" t="str">
        <f>IF(ISBLANK(Milestones!E8),"rg:None",TEXT(Milestones!$C8+Milestones!E8,"YYYY-MM-DDTHH:mm:SS.000Z"))</f>
        <v>rg:None</v>
      </c>
      <c r="H8" t="str">
        <f>IF(ISBLANK(Milestones!F8),"rg:None",TEXT(Milestones!$C8+Milestones!F8,"YYYY-MM-DDTHH:mm:SS.000Z"))</f>
        <v>rg:None</v>
      </c>
      <c r="I8" t="s">
        <v>242</v>
      </c>
      <c r="J8" t="s">
        <v>242</v>
      </c>
      <c r="K8" t="s">
        <v>242</v>
      </c>
      <c r="L8" t="s">
        <v>242</v>
      </c>
    </row>
    <row r="9" spans="1:12" x14ac:dyDescent="0.35">
      <c r="A9" t="str">
        <f>IF(ISBLANK(Milestones!A9),"-", Milestones!A9)</f>
        <v>knob</v>
      </c>
      <c r="B9" t="str">
        <f>VLOOKUP(C9,Codes!A:B,2,FALSE)</f>
        <v>reviewcomplete</v>
      </c>
      <c r="C9" t="str">
        <f>Milestones!B9</f>
        <v>Review Complete</v>
      </c>
      <c r="D9" t="s">
        <v>242</v>
      </c>
      <c r="E9" t="str">
        <f>IF(ISBLANK(Milestones!C9),"rg:None",TEXT(Milestones!C9,"YYYY-MM-DDTHH:mm:SS.000Z"))</f>
        <v>rg:None</v>
      </c>
      <c r="F9" t="str">
        <f>IF(ISBLANK(Milestones!D9),"rg:None",TEXT(Milestones!$C9+Milestones!D9,"YYYY-MM-DDTHH:mm:SS.000Z"))</f>
        <v>rg:None</v>
      </c>
      <c r="G9" t="str">
        <f>IF(ISBLANK(Milestones!E9),"rg:None",TEXT(Milestones!$C9+Milestones!E9,"YYYY-MM-DDTHH:mm:SS.000Z"))</f>
        <v>rg:None</v>
      </c>
      <c r="H9" t="str">
        <f>IF(ISBLANK(Milestones!F9),"rg:None",TEXT(Milestones!$C9+Milestones!F9,"YYYY-MM-DDTHH:mm:SS.000Z"))</f>
        <v>rg:None</v>
      </c>
      <c r="I9" t="s">
        <v>242</v>
      </c>
      <c r="J9" t="s">
        <v>242</v>
      </c>
      <c r="K9" t="s">
        <v>242</v>
      </c>
      <c r="L9" t="s">
        <v>242</v>
      </c>
    </row>
    <row r="10" spans="1:12" x14ac:dyDescent="0.35">
      <c r="A10" t="str">
        <f>IF(ISBLANK(Milestones!A10),"-", Milestones!A10)</f>
        <v>knob</v>
      </c>
      <c r="B10" t="str">
        <f>VLOOKUP(C10,Codes!A:B,2,FALSE)</f>
        <v>applicationprocesscomplete</v>
      </c>
      <c r="C10" t="str">
        <f>Milestones!B10</f>
        <v>Application Process Complete</v>
      </c>
      <c r="D10" t="s">
        <v>242</v>
      </c>
      <c r="E10" t="str">
        <f>IF(ISBLANK(Milestones!C10),"rg:None",TEXT(Milestones!C10,"YYYY-MM-DDTHH:mm:SS.000Z"))</f>
        <v>rg:None</v>
      </c>
      <c r="F10" t="str">
        <f>IF(ISBLANK(Milestones!D10),"rg:None",TEXT(Milestones!$C10+Milestones!D10,"YYYY-MM-DDTHH:mm:SS.000Z"))</f>
        <v>rg:None</v>
      </c>
      <c r="G10" t="str">
        <f>IF(ISBLANK(Milestones!E10),"rg:None",TEXT(Milestones!$C10+Milestones!E10,"YYYY-MM-DDTHH:mm:SS.000Z"))</f>
        <v>rg:None</v>
      </c>
      <c r="H10" t="str">
        <f>IF(ISBLANK(Milestones!F10),"rg:None",TEXT(Milestones!$C10+Milestones!F10,"YYYY-MM-DDTHH:mm:SS.000Z"))</f>
        <v>rg:None</v>
      </c>
      <c r="I10" t="s">
        <v>242</v>
      </c>
      <c r="J10" t="s">
        <v>242</v>
      </c>
      <c r="K10" t="s">
        <v>242</v>
      </c>
      <c r="L10" t="s">
        <v>242</v>
      </c>
    </row>
    <row r="11" spans="1:12" x14ac:dyDescent="0.35">
      <c r="A11" t="str">
        <f>IF(ISBLANK(Milestones!A11),"-", Milestones!A11)</f>
        <v>-</v>
      </c>
      <c r="B11" t="e">
        <f>VLOOKUP(C11,Codes!A:B,2,FALSE)</f>
        <v>#N/A</v>
      </c>
      <c r="C11">
        <f>Milestones!B11</f>
        <v>0</v>
      </c>
      <c r="D11" t="s">
        <v>242</v>
      </c>
      <c r="E11" t="str">
        <f>IF(ISBLANK(Milestones!C11),"rg:None",TEXT(Milestones!C11,"YYYY-MM-DDTHH:mm:SS.000Z"))</f>
        <v>rg:None</v>
      </c>
      <c r="F11" t="str">
        <f>IF(ISBLANK(Milestones!D11),"rg:None",TEXT(Milestones!$C11+Milestones!D11,"YYYY-MM-DDTHH:mm:SS.000Z"))</f>
        <v>rg:None</v>
      </c>
      <c r="G11" t="str">
        <f>IF(ISBLANK(Milestones!E11),"rg:None",TEXT(Milestones!$C11+Milestones!E11,"YYYY-MM-DDTHH:mm:SS.000Z"))</f>
        <v>rg:None</v>
      </c>
      <c r="H11" t="str">
        <f>IF(ISBLANK(Milestones!F11),"rg:None",TEXT(Milestones!$C11+Milestones!F11,"YYYY-MM-DDTHH:mm:SS.000Z"))</f>
        <v>rg:None</v>
      </c>
      <c r="I11" t="s">
        <v>242</v>
      </c>
      <c r="J11" t="s">
        <v>242</v>
      </c>
      <c r="K11" t="s">
        <v>242</v>
      </c>
      <c r="L11" t="s">
        <v>242</v>
      </c>
    </row>
    <row r="12" spans="1:12" x14ac:dyDescent="0.35">
      <c r="A12" t="str">
        <f>IF(ISBLANK(Milestones!A12),"-", Milestones!A12)</f>
        <v>-</v>
      </c>
      <c r="B12" t="e">
        <f>VLOOKUP(C12,Codes!A:B,2,FALSE)</f>
        <v>#N/A</v>
      </c>
      <c r="C12">
        <f>Milestones!B12</f>
        <v>0</v>
      </c>
      <c r="D12" t="s">
        <v>242</v>
      </c>
      <c r="E12" t="str">
        <f>IF(ISBLANK(Milestones!C12),"rg:None",TEXT(Milestones!C12,"YYYY-MM-DDTHH:mm:SS.000Z"))</f>
        <v>rg:None</v>
      </c>
      <c r="F12" t="str">
        <f>IF(ISBLANK(Milestones!D12),"rg:None",TEXT(Milestones!$C12+Milestones!D12,"YYYY-MM-DDTHH:mm:SS.000Z"))</f>
        <v>rg:None</v>
      </c>
      <c r="G12" t="str">
        <f>IF(ISBLANK(Milestones!E12),"rg:None",TEXT(Milestones!$C12+Milestones!E12,"YYYY-MM-DDTHH:mm:SS.000Z"))</f>
        <v>rg:None</v>
      </c>
      <c r="H12" t="str">
        <f>IF(ISBLANK(Milestones!F12),"rg:None",TEXT(Milestones!$C12+Milestones!F12,"YYYY-MM-DDTHH:mm:SS.000Z"))</f>
        <v>rg:None</v>
      </c>
      <c r="I12" t="s">
        <v>242</v>
      </c>
      <c r="J12" t="s">
        <v>242</v>
      </c>
      <c r="K12" t="s">
        <v>242</v>
      </c>
      <c r="L12" t="s">
        <v>242</v>
      </c>
    </row>
    <row r="13" spans="1:12" x14ac:dyDescent="0.35">
      <c r="A13" t="str">
        <f>IF(ISBLANK(Milestones!A13),"-", Milestones!A13)</f>
        <v>-</v>
      </c>
      <c r="B13" t="e">
        <f>VLOOKUP(C13,Codes!A:B,2,FALSE)</f>
        <v>#N/A</v>
      </c>
      <c r="C13">
        <f>Milestones!B13</f>
        <v>0</v>
      </c>
      <c r="D13" t="s">
        <v>242</v>
      </c>
      <c r="E13" t="str">
        <f>IF(ISBLANK(Milestones!C13),"rg:None",TEXT(Milestones!C13,"YYYY-MM-DDTHH:mm:SS.000Z"))</f>
        <v>rg:None</v>
      </c>
      <c r="F13" t="str">
        <f>IF(ISBLANK(Milestones!D13),"rg:None",TEXT(Milestones!$C13+Milestones!D13,"YYYY-MM-DDTHH:mm:SS.000Z"))</f>
        <v>rg:None</v>
      </c>
      <c r="G13" t="str">
        <f>IF(ISBLANK(Milestones!E13),"rg:None",TEXT(Milestones!$C13+Milestones!E13,"YYYY-MM-DDTHH:mm:SS.000Z"))</f>
        <v>rg:None</v>
      </c>
      <c r="H13" t="str">
        <f>IF(ISBLANK(Milestones!F13),"rg:None",TEXT(Milestones!$C13+Milestones!F13,"YYYY-MM-DDTHH:mm:SS.000Z"))</f>
        <v>rg:None</v>
      </c>
      <c r="I13" t="s">
        <v>242</v>
      </c>
      <c r="J13" t="s">
        <v>242</v>
      </c>
      <c r="K13" t="s">
        <v>242</v>
      </c>
      <c r="L13" t="s">
        <v>242</v>
      </c>
    </row>
    <row r="14" spans="1:12" x14ac:dyDescent="0.35">
      <c r="A14" t="str">
        <f>IF(ISBLANK(Milestones!A14),"-", Milestones!A14)</f>
        <v>-</v>
      </c>
      <c r="B14" t="e">
        <f>VLOOKUP(C14,Codes!A:B,2,FALSE)</f>
        <v>#N/A</v>
      </c>
      <c r="C14">
        <f>Milestones!B14</f>
        <v>0</v>
      </c>
      <c r="D14" t="s">
        <v>242</v>
      </c>
      <c r="E14" t="str">
        <f>IF(ISBLANK(Milestones!C14),"rg:None",TEXT(Milestones!C14,"YYYY-MM-DDTHH:mm:SS.000Z"))</f>
        <v>rg:None</v>
      </c>
      <c r="F14" t="str">
        <f>IF(ISBLANK(Milestones!D14),"rg:None",TEXT(Milestones!$C14+Milestones!D14,"YYYY-MM-DDTHH:mm:SS.000Z"))</f>
        <v>rg:None</v>
      </c>
      <c r="G14" t="str">
        <f>IF(ISBLANK(Milestones!E14),"rg:None",TEXT(Milestones!$C14+Milestones!E14,"YYYY-MM-DDTHH:mm:SS.000Z"))</f>
        <v>rg:None</v>
      </c>
      <c r="H14" t="str">
        <f>IF(ISBLANK(Milestones!F14),"rg:None",TEXT(Milestones!$C14+Milestones!F14,"YYYY-MM-DDTHH:mm:SS.000Z"))</f>
        <v>rg:None</v>
      </c>
      <c r="I14" t="s">
        <v>242</v>
      </c>
      <c r="J14" t="s">
        <v>242</v>
      </c>
      <c r="K14" t="s">
        <v>242</v>
      </c>
      <c r="L14" t="s">
        <v>242</v>
      </c>
    </row>
    <row r="15" spans="1:12" x14ac:dyDescent="0.35">
      <c r="A15" t="str">
        <f>IF(ISBLANK(Milestones!A15),"-", Milestones!A15)</f>
        <v>-</v>
      </c>
      <c r="B15" t="e">
        <f>VLOOKUP(C15,Codes!A:B,2,FALSE)</f>
        <v>#N/A</v>
      </c>
      <c r="C15">
        <f>Milestones!B15</f>
        <v>0</v>
      </c>
      <c r="D15" t="s">
        <v>242</v>
      </c>
      <c r="E15" t="str">
        <f>IF(ISBLANK(Milestones!C15),"rg:None",TEXT(Milestones!C15,"YYYY-MM-DDTHH:mm:SS.000Z"))</f>
        <v>rg:None</v>
      </c>
      <c r="F15" t="str">
        <f>IF(ISBLANK(Milestones!D15),"rg:None",TEXT(Milestones!$C15+Milestones!D15,"YYYY-MM-DDTHH:mm:SS.000Z"))</f>
        <v>rg:None</v>
      </c>
      <c r="G15" t="str">
        <f>IF(ISBLANK(Milestones!E15),"rg:None",TEXT(Milestones!$C15+Milestones!E15,"YYYY-MM-DDTHH:mm:SS.000Z"))</f>
        <v>rg:None</v>
      </c>
      <c r="H15" t="str">
        <f>IF(ISBLANK(Milestones!F15),"rg:None",TEXT(Milestones!$C15+Milestones!F15,"YYYY-MM-DDTHH:mm:SS.000Z"))</f>
        <v>rg:None</v>
      </c>
      <c r="I15" t="s">
        <v>242</v>
      </c>
      <c r="J15" t="s">
        <v>242</v>
      </c>
      <c r="K15" t="s">
        <v>242</v>
      </c>
      <c r="L15" t="s">
        <v>242</v>
      </c>
    </row>
    <row r="16" spans="1:12" x14ac:dyDescent="0.35">
      <c r="A16" t="str">
        <f>IF(ISBLANK(Milestones!A16),"-", Milestones!A16)</f>
        <v>-</v>
      </c>
      <c r="B16" t="e">
        <f>VLOOKUP(C16,Codes!A:B,2,FALSE)</f>
        <v>#N/A</v>
      </c>
      <c r="C16">
        <f>Milestones!B16</f>
        <v>0</v>
      </c>
      <c r="D16" t="s">
        <v>242</v>
      </c>
      <c r="E16" t="str">
        <f>IF(ISBLANK(Milestones!C16),"rg:None",TEXT(Milestones!C16,"YYYY-MM-DDTHH:mm:SS.000Z"))</f>
        <v>rg:None</v>
      </c>
      <c r="F16" t="str">
        <f>IF(ISBLANK(Milestones!D16),"rg:None",TEXT(Milestones!$C16+Milestones!D16,"YYYY-MM-DDTHH:mm:SS.000Z"))</f>
        <v>rg:None</v>
      </c>
      <c r="G16" t="str">
        <f>IF(ISBLANK(Milestones!E16),"rg:None",TEXT(Milestones!$C16+Milestones!E16,"YYYY-MM-DDTHH:mm:SS.000Z"))</f>
        <v>rg:None</v>
      </c>
      <c r="H16" t="str">
        <f>IF(ISBLANK(Milestones!F16),"rg:None",TEXT(Milestones!$C16+Milestones!F16,"YYYY-MM-DDTHH:mm:SS.000Z"))</f>
        <v>rg:None</v>
      </c>
      <c r="I16" t="s">
        <v>242</v>
      </c>
      <c r="J16" t="s">
        <v>242</v>
      </c>
      <c r="K16" t="s">
        <v>242</v>
      </c>
      <c r="L16" t="s">
        <v>242</v>
      </c>
    </row>
    <row r="17" spans="1:12" x14ac:dyDescent="0.35">
      <c r="A17" t="str">
        <f>IF(ISBLANK(Milestones!A17),"-", Milestones!A17)</f>
        <v>-</v>
      </c>
      <c r="B17" t="e">
        <f>VLOOKUP(C17,Codes!A:B,2,FALSE)</f>
        <v>#N/A</v>
      </c>
      <c r="C17">
        <f>Milestones!B17</f>
        <v>0</v>
      </c>
      <c r="D17" t="s">
        <v>242</v>
      </c>
      <c r="E17" t="str">
        <f>IF(ISBLANK(Milestones!C17),"rg:None",TEXT(Milestones!C17,"YYYY-MM-DDTHH:mm:SS.000Z"))</f>
        <v>rg:None</v>
      </c>
      <c r="F17" t="str">
        <f>IF(ISBLANK(Milestones!D17),"rg:None",TEXT(Milestones!$C17+Milestones!D17,"YYYY-MM-DDTHH:mm:SS.000Z"))</f>
        <v>rg:None</v>
      </c>
      <c r="G17" t="str">
        <f>IF(ISBLANK(Milestones!E17),"rg:None",TEXT(Milestones!$C17+Milestones!E17,"YYYY-MM-DDTHH:mm:SS.000Z"))</f>
        <v>rg:None</v>
      </c>
      <c r="H17" t="str">
        <f>IF(ISBLANK(Milestones!F17),"rg:None",TEXT(Milestones!$C17+Milestones!F17,"YYYY-MM-DDTHH:mm:SS.000Z"))</f>
        <v>rg:None</v>
      </c>
      <c r="I17" t="s">
        <v>242</v>
      </c>
      <c r="J17" t="s">
        <v>242</v>
      </c>
      <c r="K17" t="s">
        <v>242</v>
      </c>
      <c r="L17" t="s">
        <v>242</v>
      </c>
    </row>
    <row r="18" spans="1:12" x14ac:dyDescent="0.35">
      <c r="A18" t="str">
        <f>IF(ISBLANK(Milestones!A18),"-", Milestones!A18)</f>
        <v>-</v>
      </c>
      <c r="B18" t="e">
        <f>VLOOKUP(C18,Codes!A:B,2,FALSE)</f>
        <v>#N/A</v>
      </c>
      <c r="C18">
        <f>Milestones!B18</f>
        <v>0</v>
      </c>
      <c r="D18" t="s">
        <v>242</v>
      </c>
      <c r="E18" t="str">
        <f>IF(ISBLANK(Milestones!C18),"rg:None",TEXT(Milestones!C18,"YYYY-MM-DDTHH:mm:SS.000Z"))</f>
        <v>rg:None</v>
      </c>
      <c r="F18" t="str">
        <f>IF(ISBLANK(Milestones!D18),"rg:None",TEXT(Milestones!$C18+Milestones!D18,"YYYY-MM-DDTHH:mm:SS.000Z"))</f>
        <v>rg:None</v>
      </c>
      <c r="G18" t="str">
        <f>IF(ISBLANK(Milestones!E18),"rg:None",TEXT(Milestones!$C18+Milestones!E18,"YYYY-MM-DDTHH:mm:SS.000Z"))</f>
        <v>rg:None</v>
      </c>
      <c r="H18" t="str">
        <f>IF(ISBLANK(Milestones!F18),"rg:None",TEXT(Milestones!$C18+Milestones!F18,"YYYY-MM-DDTHH:mm:SS.000Z"))</f>
        <v>rg:None</v>
      </c>
      <c r="I18" t="s">
        <v>242</v>
      </c>
      <c r="J18" t="s">
        <v>242</v>
      </c>
      <c r="K18" t="s">
        <v>242</v>
      </c>
      <c r="L18" t="s">
        <v>242</v>
      </c>
    </row>
    <row r="19" spans="1:12" x14ac:dyDescent="0.35">
      <c r="A19" t="str">
        <f>IF(ISBLANK(Milestones!A19),"-", Milestones!A19)</f>
        <v>-</v>
      </c>
      <c r="B19" t="e">
        <f>VLOOKUP(C19,Codes!A:B,2,FALSE)</f>
        <v>#N/A</v>
      </c>
      <c r="C19">
        <f>Milestones!B19</f>
        <v>0</v>
      </c>
      <c r="D19" t="s">
        <v>242</v>
      </c>
      <c r="E19" t="str">
        <f>IF(ISBLANK(Milestones!C19),"rg:None",TEXT(Milestones!C19,"YYYY-MM-DDTHH:mm:SS.000Z"))</f>
        <v>rg:None</v>
      </c>
      <c r="F19" t="str">
        <f>IF(ISBLANK(Milestones!D19),"rg:None",TEXT(Milestones!$C19+Milestones!D19,"YYYY-MM-DDTHH:mm:SS.000Z"))</f>
        <v>rg:None</v>
      </c>
      <c r="G19" t="str">
        <f>IF(ISBLANK(Milestones!E19),"rg:None",TEXT(Milestones!$C19+Milestones!E19,"YYYY-MM-DDTHH:mm:SS.000Z"))</f>
        <v>rg:None</v>
      </c>
      <c r="H19" t="str">
        <f>IF(ISBLANK(Milestones!F19),"rg:None",TEXT(Milestones!$C19+Milestones!F19,"YYYY-MM-DDTHH:mm:SS.000Z"))</f>
        <v>rg:None</v>
      </c>
      <c r="I19" t="s">
        <v>242</v>
      </c>
      <c r="J19" t="s">
        <v>242</v>
      </c>
      <c r="K19" t="s">
        <v>242</v>
      </c>
      <c r="L19" t="s">
        <v>242</v>
      </c>
    </row>
    <row r="20" spans="1:12" x14ac:dyDescent="0.35">
      <c r="A20" t="str">
        <f>IF(ISBLANK(Milestones!A20),"-", Milestones!A20)</f>
        <v>-</v>
      </c>
      <c r="B20" t="e">
        <f>VLOOKUP(C20,Codes!A:B,2,FALSE)</f>
        <v>#N/A</v>
      </c>
      <c r="C20">
        <f>Milestones!B20</f>
        <v>0</v>
      </c>
      <c r="D20" t="s">
        <v>242</v>
      </c>
      <c r="E20" t="str">
        <f>IF(ISBLANK(Milestones!C20),"rg:None",TEXT(Milestones!C20,"YYYY-MM-DDTHH:mm:SS.000Z"))</f>
        <v>rg:None</v>
      </c>
      <c r="F20" t="str">
        <f>IF(ISBLANK(Milestones!D20),"rg:None",TEXT(Milestones!$C20+Milestones!D20,"YYYY-MM-DDTHH:mm:SS.000Z"))</f>
        <v>rg:None</v>
      </c>
      <c r="G20" t="str">
        <f>IF(ISBLANK(Milestones!E20),"rg:None",TEXT(Milestones!$C20+Milestones!E20,"YYYY-MM-DDTHH:mm:SS.000Z"))</f>
        <v>rg:None</v>
      </c>
      <c r="H20" t="str">
        <f>IF(ISBLANK(Milestones!F20),"rg:None",TEXT(Milestones!$C20+Milestones!F20,"YYYY-MM-DDTHH:mm:SS.000Z"))</f>
        <v>rg:None</v>
      </c>
      <c r="I20" t="s">
        <v>242</v>
      </c>
      <c r="J20" t="s">
        <v>242</v>
      </c>
      <c r="K20" t="s">
        <v>242</v>
      </c>
      <c r="L20" t="s">
        <v>242</v>
      </c>
    </row>
    <row r="21" spans="1:12" x14ac:dyDescent="0.35">
      <c r="A21" t="str">
        <f>IF(ISBLANK(Milestones!A21),"-", Milestones!A21)</f>
        <v>-</v>
      </c>
      <c r="B21" t="e">
        <f>VLOOKUP(C21,Codes!A:B,2,FALSE)</f>
        <v>#N/A</v>
      </c>
      <c r="C21">
        <f>Milestones!B21</f>
        <v>0</v>
      </c>
      <c r="D21" t="s">
        <v>242</v>
      </c>
      <c r="E21" t="str">
        <f>IF(ISBLANK(Milestones!C21),"rg:None",TEXT(Milestones!C21,"YYYY-MM-DDTHH:mm:SS.000Z"))</f>
        <v>rg:None</v>
      </c>
      <c r="F21" t="str">
        <f>IF(ISBLANK(Milestones!D21),"rg:None",TEXT(Milestones!$C21+Milestones!D21,"YYYY-MM-DDTHH:mm:SS.000Z"))</f>
        <v>rg:None</v>
      </c>
      <c r="G21" t="str">
        <f>IF(ISBLANK(Milestones!E21),"rg:None",TEXT(Milestones!$C21+Milestones!E21,"YYYY-MM-DDTHH:mm:SS.000Z"))</f>
        <v>rg:None</v>
      </c>
      <c r="H21" t="str">
        <f>IF(ISBLANK(Milestones!F21),"rg:None",TEXT(Milestones!$C21+Milestones!F21,"YYYY-MM-DDTHH:mm:SS.000Z"))</f>
        <v>rg:None</v>
      </c>
      <c r="I21" t="s">
        <v>242</v>
      </c>
      <c r="J21" t="s">
        <v>242</v>
      </c>
      <c r="K21" t="s">
        <v>242</v>
      </c>
      <c r="L21" t="s">
        <v>242</v>
      </c>
    </row>
    <row r="22" spans="1:12" x14ac:dyDescent="0.35">
      <c r="A22" t="str">
        <f>IF(ISBLANK(Milestones!A22),"-", Milestones!A22)</f>
        <v>-</v>
      </c>
      <c r="B22" t="e">
        <f>VLOOKUP(C22,Codes!A:B,2,FALSE)</f>
        <v>#N/A</v>
      </c>
      <c r="C22">
        <f>Milestones!B22</f>
        <v>0</v>
      </c>
      <c r="D22" t="s">
        <v>242</v>
      </c>
      <c r="E22" t="str">
        <f>IF(ISBLANK(Milestones!C22),"rg:None",TEXT(Milestones!C22,"YYYY-MM-DDTHH:mm:SS.000Z"))</f>
        <v>rg:None</v>
      </c>
      <c r="F22" t="str">
        <f>IF(ISBLANK(Milestones!D22),"rg:None",TEXT(Milestones!$C22+Milestones!D22,"YYYY-MM-DDTHH:mm:SS.000Z"))</f>
        <v>rg:None</v>
      </c>
      <c r="G22" t="str">
        <f>IF(ISBLANK(Milestones!E22),"rg:None",TEXT(Milestones!$C22+Milestones!E22,"YYYY-MM-DDTHH:mm:SS.000Z"))</f>
        <v>rg:None</v>
      </c>
      <c r="H22" t="str">
        <f>IF(ISBLANK(Milestones!F22),"rg:None",TEXT(Milestones!$C22+Milestones!F22,"YYYY-MM-DDTHH:mm:SS.000Z"))</f>
        <v>rg:None</v>
      </c>
      <c r="I22" t="s">
        <v>242</v>
      </c>
      <c r="J22" t="s">
        <v>242</v>
      </c>
      <c r="K22" t="s">
        <v>242</v>
      </c>
      <c r="L22" t="s">
        <v>242</v>
      </c>
    </row>
    <row r="23" spans="1:12" x14ac:dyDescent="0.35">
      <c r="A23" t="str">
        <f>IF(ISBLANK(Milestones!A23),"-", Milestones!A23)</f>
        <v>-</v>
      </c>
      <c r="B23" t="e">
        <f>VLOOKUP(C23,Codes!A:B,2,FALSE)</f>
        <v>#N/A</v>
      </c>
      <c r="C23">
        <f>Milestones!B23</f>
        <v>0</v>
      </c>
      <c r="D23" t="s">
        <v>242</v>
      </c>
      <c r="E23" t="str">
        <f>IF(ISBLANK(Milestones!C23),"rg:None",TEXT(Milestones!C23,"YYYY-MM-DDTHH:mm:SS.000Z"))</f>
        <v>rg:None</v>
      </c>
      <c r="F23" t="str">
        <f>IF(ISBLANK(Milestones!D23),"rg:None",TEXT(Milestones!$C23+Milestones!D23,"YYYY-MM-DDTHH:mm:SS.000Z"))</f>
        <v>rg:None</v>
      </c>
      <c r="G23" t="str">
        <f>IF(ISBLANK(Milestones!E23),"rg:None",TEXT(Milestones!$C23+Milestones!E23,"YYYY-MM-DDTHH:mm:SS.000Z"))</f>
        <v>rg:None</v>
      </c>
      <c r="H23" t="str">
        <f>IF(ISBLANK(Milestones!F23),"rg:None",TEXT(Milestones!$C23+Milestones!F23,"YYYY-MM-DDTHH:mm:SS.000Z"))</f>
        <v>rg:None</v>
      </c>
      <c r="I23" t="s">
        <v>242</v>
      </c>
      <c r="J23" t="s">
        <v>242</v>
      </c>
      <c r="K23" t="s">
        <v>242</v>
      </c>
      <c r="L23" t="s">
        <v>242</v>
      </c>
    </row>
    <row r="24" spans="1:12" x14ac:dyDescent="0.35">
      <c r="A24" t="str">
        <f>IF(ISBLANK(Milestones!A24),"-", Milestones!A24)</f>
        <v>-</v>
      </c>
      <c r="B24" t="e">
        <f>VLOOKUP(C24,Codes!A:B,2,FALSE)</f>
        <v>#N/A</v>
      </c>
      <c r="C24">
        <f>Milestones!B24</f>
        <v>0</v>
      </c>
      <c r="D24" t="s">
        <v>242</v>
      </c>
      <c r="E24" t="str">
        <f>IF(ISBLANK(Milestones!C24),"rg:None",TEXT(Milestones!C24,"YYYY-MM-DDTHH:mm:SS.000Z"))</f>
        <v>rg:None</v>
      </c>
      <c r="F24" t="str">
        <f>IF(ISBLANK(Milestones!D24),"rg:None",TEXT(Milestones!$C24+Milestones!D24,"YYYY-MM-DDTHH:mm:SS.000Z"))</f>
        <v>rg:None</v>
      </c>
      <c r="G24" t="str">
        <f>IF(ISBLANK(Milestones!E24),"rg:None",TEXT(Milestones!$C24+Milestones!E24,"YYYY-MM-DDTHH:mm:SS.000Z"))</f>
        <v>rg:None</v>
      </c>
      <c r="H24" t="str">
        <f>IF(ISBLANK(Milestones!F24),"rg:None",TEXT(Milestones!$C24+Milestones!F24,"YYYY-MM-DDTHH:mm:SS.000Z"))</f>
        <v>rg:None</v>
      </c>
      <c r="I24" t="s">
        <v>242</v>
      </c>
      <c r="J24" t="s">
        <v>242</v>
      </c>
      <c r="K24" t="s">
        <v>242</v>
      </c>
      <c r="L24" t="s">
        <v>242</v>
      </c>
    </row>
    <row r="25" spans="1:12" x14ac:dyDescent="0.35">
      <c r="A25" t="str">
        <f>IF(ISBLANK(Milestones!A25),"-", Milestones!A25)</f>
        <v>-</v>
      </c>
      <c r="B25" t="e">
        <f>VLOOKUP(C25,Codes!A:B,2,FALSE)</f>
        <v>#N/A</v>
      </c>
      <c r="C25">
        <f>Milestones!B25</f>
        <v>0</v>
      </c>
      <c r="D25" t="s">
        <v>242</v>
      </c>
      <c r="E25" t="str">
        <f>IF(ISBLANK(Milestones!C25),"rg:None",TEXT(Milestones!C25,"YYYY-MM-DDTHH:mm:SS.000Z"))</f>
        <v>rg:None</v>
      </c>
      <c r="F25" t="str">
        <f>IF(ISBLANK(Milestones!D25),"rg:None",TEXT(Milestones!$C25+Milestones!D25,"YYYY-MM-DDTHH:mm:SS.000Z"))</f>
        <v>rg:None</v>
      </c>
      <c r="G25" t="str">
        <f>IF(ISBLANK(Milestones!E25),"rg:None",TEXT(Milestones!$C25+Milestones!E25,"YYYY-MM-DDTHH:mm:SS.000Z"))</f>
        <v>rg:None</v>
      </c>
      <c r="H25" t="str">
        <f>IF(ISBLANK(Milestones!F25),"rg:None",TEXT(Milestones!$C25+Milestones!F25,"YYYY-MM-DDTHH:mm:SS.000Z"))</f>
        <v>rg:None</v>
      </c>
      <c r="I25" t="s">
        <v>242</v>
      </c>
      <c r="J25" t="s">
        <v>242</v>
      </c>
      <c r="K25" t="s">
        <v>242</v>
      </c>
      <c r="L25" t="s">
        <v>242</v>
      </c>
    </row>
    <row r="26" spans="1:12" x14ac:dyDescent="0.35">
      <c r="A26" t="str">
        <f>IF(ISBLANK(Milestones!A26),"-", Milestones!A26)</f>
        <v>-</v>
      </c>
      <c r="B26" t="e">
        <f>VLOOKUP(C26,Codes!A:B,2,FALSE)</f>
        <v>#N/A</v>
      </c>
      <c r="C26">
        <f>Milestones!B26</f>
        <v>0</v>
      </c>
      <c r="D26" t="s">
        <v>242</v>
      </c>
      <c r="E26" t="str">
        <f>IF(ISBLANK(Milestones!C26),"rg:None",TEXT(Milestones!C26,"YYYY-MM-DDTHH:mm:SS.000Z"))</f>
        <v>rg:None</v>
      </c>
      <c r="F26" t="str">
        <f>IF(ISBLANK(Milestones!D26),"rg:None",TEXT(Milestones!$C26+Milestones!D26,"YYYY-MM-DDTHH:mm:SS.000Z"))</f>
        <v>rg:None</v>
      </c>
      <c r="G26" t="str">
        <f>IF(ISBLANK(Milestones!E26),"rg:None",TEXT(Milestones!$C26+Milestones!E26,"YYYY-MM-DDTHH:mm:SS.000Z"))</f>
        <v>rg:None</v>
      </c>
      <c r="H26" t="str">
        <f>IF(ISBLANK(Milestones!F26),"rg:None",TEXT(Milestones!$C26+Milestones!F26,"YYYY-MM-DDTHH:mm:SS.000Z"))</f>
        <v>rg:None</v>
      </c>
      <c r="I26" t="s">
        <v>242</v>
      </c>
      <c r="J26" t="s">
        <v>242</v>
      </c>
      <c r="K26" t="s">
        <v>242</v>
      </c>
      <c r="L26" t="s">
        <v>242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Project</vt:lpstr>
      <vt:lpstr>IntakeQ&amp;A</vt:lpstr>
      <vt:lpstr>ProjPhases</vt:lpstr>
      <vt:lpstr>Milestones</vt:lpstr>
      <vt:lpstr>Activities</vt:lpstr>
      <vt:lpstr>Tasks</vt:lpstr>
      <vt:lpstr>Codes</vt:lpstr>
      <vt:lpstr>ActTasks</vt:lpstr>
      <vt:lpstr>Visibility</vt:lpstr>
      <vt:lpstr>tasks.csv</vt:lpstr>
      <vt:lpstr>activities.csv</vt:lpstr>
      <vt:lpstr>project.csv</vt:lpstr>
      <vt:lpstr>intakeqa.csv</vt:lpstr>
      <vt:lpstr>projphases.csv</vt:lpstr>
      <vt:lpstr>visibility.csv</vt:lpstr>
      <vt:lpstr>access.csv</vt:lpstr>
      <vt:lpstr>milestones.csv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2014-01-20T19:06:27Z</dcterms:created>
  <dcterms:modified xsi:type="dcterms:W3CDTF">2015-11-04T04:23:44Z</dcterms:modified>
</cp:coreProperties>
</file>