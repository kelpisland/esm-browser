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CA64066A-ACE2-59CF-C789-10412C3B3B8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tephen\cats\esm-data\datagen\in\"/>
    </mc:Choice>
  </mc:AlternateContent>
  <bookViews>
    <workbookView xWindow="0" yWindow="0" windowWidth="25000" windowHeight="17480" tabRatio="815"/>
  </bookViews>
  <sheets>
    <sheet name="Project" sheetId="17" r:id="rId1"/>
    <sheet name="IntakeQ&amp;A" sheetId="8" r:id="rId2"/>
    <sheet name="Tasks" sheetId="27" r:id="rId3"/>
    <sheet name="TaskValues" sheetId="28" r:id="rId4"/>
    <sheet name="ProjectPhases" sheetId="20" r:id="rId5"/>
    <sheet name="ProjectRoles" sheetId="21" r:id="rId6"/>
    <sheet name="Roles" sheetId="24" r:id="rId7"/>
    <sheet name="Buckets" sheetId="26" r:id="rId8"/>
    <sheet name="ProjectTypes" sheetId="22" r:id="rId9"/>
    <sheet name="Requirements" sheetId="23" r:id="rId10"/>
    <sheet name="lookups" sheetId="15" r:id="rId11"/>
    <sheet name="project.csv" sheetId="34" r:id="rId12"/>
    <sheet name="intakeqa.csv" sheetId="16" r:id="rId13"/>
    <sheet name="sysRoles.csv" sheetId="32" r:id="rId14"/>
    <sheet name="sysTasks.csv" sheetId="33" r:id="rId15"/>
    <sheet name="sysBuckets.csv" sheetId="14" r:id="rId16"/>
    <sheet name="sysProjectPhases.csv" sheetId="18" r:id="rId17"/>
    <sheet name="sysProjectRoles.csv" sheetId="29" r:id="rId18"/>
    <sheet name="sysProjectTypes.csv" sheetId="30" r:id="rId19"/>
    <sheet name="sysRequirements.csv" sheetId="31" r:id="rId20"/>
  </sheets>
  <calcPr calcId="162913" concurrentCalc="0"/>
</workbook>
</file>

<file path=xl/calcChain.xml><?xml version="1.0" encoding="utf-8"?>
<calcChain xmlns="http://schemas.openxmlformats.org/spreadsheetml/2006/main">
  <c r="H2" i="17" l="1"/>
  <c r="L2" i="34"/>
  <c r="K2" i="34"/>
  <c r="J2" i="34"/>
  <c r="I2" i="34"/>
  <c r="H2" i="34"/>
  <c r="C25" i="16"/>
  <c r="B25" i="16"/>
  <c r="C24" i="16"/>
  <c r="B24" i="16"/>
  <c r="C23" i="16"/>
  <c r="B23" i="16"/>
  <c r="C22" i="16"/>
  <c r="B22" i="16"/>
  <c r="C21" i="16"/>
  <c r="B21" i="16"/>
  <c r="C20" i="16"/>
  <c r="B20" i="16"/>
  <c r="C19" i="16"/>
  <c r="B19" i="16"/>
  <c r="C18" i="16"/>
  <c r="B18" i="16"/>
  <c r="C17" i="16"/>
  <c r="B17" i="16"/>
  <c r="C16" i="16"/>
  <c r="B16" i="16"/>
  <c r="C15" i="16"/>
  <c r="B15" i="16"/>
  <c r="C14" i="16"/>
  <c r="B14" i="16"/>
  <c r="C13" i="16"/>
  <c r="B13" i="16"/>
  <c r="C12" i="16"/>
  <c r="B12" i="16"/>
  <c r="C11" i="16"/>
  <c r="B11" i="16"/>
  <c r="C10" i="16"/>
  <c r="B10" i="16"/>
  <c r="C9" i="16"/>
  <c r="B9" i="16"/>
  <c r="C8" i="16"/>
  <c r="B8" i="16"/>
  <c r="C7" i="16"/>
  <c r="B7" i="16"/>
  <c r="C6" i="16"/>
  <c r="B6" i="16"/>
  <c r="C5" i="16"/>
  <c r="B5" i="16"/>
  <c r="C4" i="16"/>
  <c r="B4" i="16"/>
  <c r="C3" i="16"/>
  <c r="B3" i="16"/>
  <c r="C2" i="16"/>
  <c r="B2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2" i="16"/>
  <c r="F2" i="27"/>
  <c r="E2" i="17"/>
  <c r="C2" i="14"/>
  <c r="A2" i="14"/>
  <c r="S2" i="14"/>
  <c r="G2" i="18"/>
  <c r="F2" i="18"/>
  <c r="E2" i="18"/>
  <c r="D2" i="18"/>
  <c r="O2" i="14"/>
  <c r="N2" i="14"/>
  <c r="M2" i="14"/>
  <c r="K2" i="14"/>
  <c r="C2" i="18"/>
  <c r="B2" i="18"/>
  <c r="G1" i="18"/>
  <c r="F1" i="18"/>
  <c r="E1" i="18"/>
  <c r="D1" i="18"/>
  <c r="C1" i="18"/>
  <c r="B1" i="18"/>
  <c r="R2" i="14"/>
  <c r="Q2" i="14"/>
  <c r="P2" i="14"/>
  <c r="L2" i="14"/>
  <c r="J2" i="14"/>
  <c r="I2" i="14"/>
  <c r="H2" i="14"/>
  <c r="G2" i="14"/>
  <c r="F2" i="14"/>
  <c r="E2" i="14"/>
  <c r="D2" i="14"/>
  <c r="B2" i="14"/>
</calcChain>
</file>

<file path=xl/sharedStrings.xml><?xml version="1.0" encoding="utf-8"?>
<sst xmlns="http://schemas.openxmlformats.org/spreadsheetml/2006/main" count="187" uniqueCount="121">
  <si>
    <t>File</t>
  </si>
  <si>
    <t>_id</t>
  </si>
  <si>
    <t>name</t>
  </si>
  <si>
    <t>developer</t>
  </si>
  <si>
    <t>type</t>
  </si>
  <si>
    <t>description</t>
  </si>
  <si>
    <t>region</t>
  </si>
  <si>
    <t>location</t>
  </si>
  <si>
    <t>phase</t>
  </si>
  <si>
    <t>nextPhase</t>
  </si>
  <si>
    <t>estimatedPhaseCompleteDate</t>
  </si>
  <si>
    <t>nextExpectedPhase</t>
  </si>
  <si>
    <t>preapplicationStartDate</t>
  </si>
  <si>
    <t>commentOpen</t>
  </si>
  <si>
    <t>commentClose</t>
  </si>
  <si>
    <t>progress</t>
  </si>
  <si>
    <t>lat</t>
  </si>
  <si>
    <t>long</t>
  </si>
  <si>
    <t>kgwfp1234</t>
  </si>
  <si>
    <t>Knob Hill Wind Farm Project</t>
  </si>
  <si>
    <t>Power and Industrial</t>
  </si>
  <si>
    <t>Draft A.I.R. Accepted</t>
  </si>
  <si>
    <t>Evaluate Application</t>
  </si>
  <si>
    <t>Project Description Approval</t>
  </si>
  <si>
    <t>Type</t>
  </si>
  <si>
    <t>Name</t>
  </si>
  <si>
    <t>Value</t>
  </si>
  <si>
    <t>Project</t>
  </si>
  <si>
    <t>Regions</t>
  </si>
  <si>
    <t>Vancouver Island</t>
  </si>
  <si>
    <t>Project Types</t>
  </si>
  <si>
    <t>Phases</t>
  </si>
  <si>
    <t>phases</t>
  </si>
  <si>
    <t>Intake</t>
  </si>
  <si>
    <t>EAO</t>
  </si>
  <si>
    <t>shortName</t>
  </si>
  <si>
    <t>roles</t>
  </si>
  <si>
    <t>buckets</t>
  </si>
  <si>
    <t>activities</t>
  </si>
  <si>
    <t>prerequisitPhases</t>
  </si>
  <si>
    <t>access</t>
  </si>
  <si>
    <t>requirements</t>
  </si>
  <si>
    <t>intake</t>
  </si>
  <si>
    <t>Proponent</t>
  </si>
  <si>
    <t>preea</t>
  </si>
  <si>
    <t>Pre-EA</t>
  </si>
  <si>
    <t>preapp</t>
  </si>
  <si>
    <t>Pre-App</t>
  </si>
  <si>
    <t>evaluation</t>
  </si>
  <si>
    <t>Evaluation</t>
  </si>
  <si>
    <t>review</t>
  </si>
  <si>
    <t>Review</t>
  </si>
  <si>
    <t>decision</t>
  </si>
  <si>
    <t>Decision</t>
  </si>
  <si>
    <t>postCertification</t>
  </si>
  <si>
    <t>Post Certification</t>
  </si>
  <si>
    <t>Proponent, EAO</t>
  </si>
  <si>
    <t>LNG</t>
  </si>
  <si>
    <t>Coal &amp; Aggregates</t>
  </si>
  <si>
    <t>Food Processing</t>
  </si>
  <si>
    <t>Waste &amp; Water Management</t>
  </si>
  <si>
    <t>Destination Resorts</t>
  </si>
  <si>
    <t>Transportation Projects</t>
  </si>
  <si>
    <t>Metal Mining</t>
  </si>
  <si>
    <t>Oil and Gas</t>
  </si>
  <si>
    <t>ProjectTypes</t>
  </si>
  <si>
    <t>ProjectRoles</t>
  </si>
  <si>
    <t>Staff</t>
  </si>
  <si>
    <t>Team</t>
  </si>
  <si>
    <t>Team Lead</t>
  </si>
  <si>
    <t>Minister</t>
  </si>
  <si>
    <t>requirementName</t>
  </si>
  <si>
    <t>document</t>
  </si>
  <si>
    <t>Section 10-1c</t>
  </si>
  <si>
    <t>CEAA</t>
  </si>
  <si>
    <t>Project Team</t>
  </si>
  <si>
    <t>Working Group</t>
  </si>
  <si>
    <t>Public</t>
  </si>
  <si>
    <t>Roles</t>
  </si>
  <si>
    <t>value</t>
  </si>
  <si>
    <t>process</t>
  </si>
  <si>
    <t>values</t>
  </si>
  <si>
    <t>taskName</t>
  </si>
  <si>
    <t>Long Name</t>
  </si>
  <si>
    <t>Not Started</t>
  </si>
  <si>
    <t>processName</t>
  </si>
  <si>
    <t>In Progress</t>
  </si>
  <si>
    <t>taskGroupName</t>
  </si>
  <si>
    <t>projectRole</t>
  </si>
  <si>
    <t>groupName</t>
  </si>
  <si>
    <t>Not Applicable</t>
  </si>
  <si>
    <t>title</t>
  </si>
  <si>
    <t>groups</t>
  </si>
  <si>
    <t>canComplete</t>
  </si>
  <si>
    <t>requirementsMet</t>
  </si>
  <si>
    <t>actName</t>
  </si>
  <si>
    <t>EAO, Proponent</t>
  </si>
  <si>
    <t>Group Name</t>
  </si>
  <si>
    <t>bucketName</t>
  </si>
  <si>
    <t>projID</t>
  </si>
  <si>
    <t>proponent{}</t>
  </si>
  <si>
    <t>dateCurrentPhase</t>
  </si>
  <si>
    <t>dateCurrentPhaseEstimatedStart</t>
  </si>
  <si>
    <t>dateCurrentPhaseEstimatedEnd</t>
  </si>
  <si>
    <t>dateNextPhaseEstimatedStart</t>
  </si>
  <si>
    <t>currentCommentPeriod{</t>
  </si>
  <si>
    <t>code</t>
  </si>
  <si>
    <t>dateOpen</t>
  </si>
  <si>
    <t>dateClosed</t>
  </si>
  <si>
    <t>q</t>
  </si>
  <si>
    <t>a</t>
  </si>
  <si>
    <t>overallProgress</t>
  </si>
  <si>
    <t>Question</t>
  </si>
  <si>
    <t>Response</t>
  </si>
  <si>
    <t>all</t>
  </si>
  <si>
    <t>Description</t>
  </si>
  <si>
    <t>Region</t>
  </si>
  <si>
    <t>Location</t>
  </si>
  <si>
    <t>FirstDate</t>
  </si>
  <si>
    <t>Progress</t>
  </si>
  <si>
    <t>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</si>
</sst>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m\-yyyy"/>
    <numFmt numFmtId="165" formatCode="yyyy\-mm\-dd\Thh:mm:ss.000\Z"/>
    <numFmt numFmtId="166" formatCode="[$-409]d\-mmm\-yy;@"/>
  </numFmts>
  <fonts count="5" x14ac:knownFonts="1">
    <font>
      <sz val="12"/>
      <color theme="1"/>
      <name val="Calibri"/>
      <family val="2"/>
      <charset val="204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4" fillId="0" borderId="0" xfId="0" applyFont="1"/>
    <xf numFmtId="166" fontId="0" fillId="0" borderId="0" xfId="0" applyNumberFormat="1"/>
    <xf numFmtId="166" fontId="4" fillId="0" borderId="0" xfId="0" applyNumberFormat="1" applyFont="1"/>
  </cellXfs>
  <cellStyles count="33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4" builtinId="8" hidden="1"/>
    <cellStyle name="Hyperlink" xfId="326" builtinId="8" hidden="1"/>
    <cellStyle name="Hyperlink" xfId="328" builtinId="8" hidden="1"/>
    <cellStyle name="Normal" xfId="0" builtinId="0"/>
    <cellStyle name="Normal 2" xfId="32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tabSelected="1" workbookViewId="0">
      <selection activeCell="B2" sqref="B2"/>
    </sheetView>
  </sheetViews>
  <sheetFormatPr defaultRowHeight="15.5" x14ac:dyDescent="0.35"/>
  <cols>
    <col min="1" max="1" width="7.9140625" bestFit="1" customWidth="1"/>
    <col min="2" max="2" width="10.5" bestFit="1" customWidth="1"/>
    <col min="3" max="3" width="11.25" bestFit="1" customWidth="1"/>
    <col min="4" max="4" width="5.5" bestFit="1" customWidth="1"/>
    <col min="5" max="5" width="10.5" bestFit="1" customWidth="1"/>
    <col min="8" max="8" width="9.25" style="4" bestFit="1" customWidth="1"/>
    <col min="9" max="9" width="7.58203125" bestFit="1" customWidth="1"/>
  </cols>
  <sheetData>
    <row r="1" spans="1:9" s="3" customFormat="1" x14ac:dyDescent="0.35">
      <c r="A1" s="3" t="s">
        <v>99</v>
      </c>
      <c r="B1" s="3" t="s">
        <v>25</v>
      </c>
      <c r="C1" s="3" t="s">
        <v>43</v>
      </c>
      <c r="D1" s="3" t="s">
        <v>24</v>
      </c>
      <c r="E1" s="3" t="s">
        <v>115</v>
      </c>
      <c r="F1" s="3" t="s">
        <v>116</v>
      </c>
      <c r="G1" s="3" t="s">
        <v>117</v>
      </c>
      <c r="H1" s="5" t="s">
        <v>118</v>
      </c>
      <c r="I1" s="3" t="s">
        <v>119</v>
      </c>
    </row>
    <row r="2" spans="1:9" x14ac:dyDescent="0.35">
      <c r="A2" t="s">
        <v>120</v>
      </c>
      <c r="B2" t="s">
        <v>89</v>
      </c>
      <c r="C2" t="s">
        <v>97</v>
      </c>
      <c r="D2" t="b">
        <v>1</v>
      </c>
      <c r="E2" t="str">
        <f>B2</f>
        <v>groupName</v>
      </c>
      <c r="H2" s="4">
        <f ca="1">TODAY()-458</f>
        <v>41849</v>
      </c>
      <c r="I2">
        <v>85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opLeftCell="C1" workbookViewId="0">
      <pane ySplit="1" topLeftCell="A2" activePane="bottomLeft" state="frozen"/>
      <selection pane="bottomLeft" activeCell="C2" sqref="C2:C10"/>
    </sheetView>
  </sheetViews>
  <sheetFormatPr defaultColWidth="10.6640625" defaultRowHeight="15.5" x14ac:dyDescent="0.35"/>
  <cols>
    <col min="1" max="1" width="29.33203125" bestFit="1" customWidth="1"/>
    <col min="2" max="2" width="9.6640625" bestFit="1" customWidth="1"/>
    <col min="3" max="3" width="19.08203125" style="1" bestFit="1" customWidth="1"/>
    <col min="4" max="4" width="26.1640625" customWidth="1"/>
    <col min="5" max="5" width="16.08203125" bestFit="1" customWidth="1"/>
  </cols>
  <sheetData>
    <row r="1" spans="1:5" x14ac:dyDescent="0.35">
      <c r="A1" t="s">
        <v>35</v>
      </c>
      <c r="B1" t="s">
        <v>2</v>
      </c>
      <c r="C1" t="s">
        <v>0</v>
      </c>
      <c r="D1" t="s">
        <v>112</v>
      </c>
      <c r="E1" t="s">
        <v>113</v>
      </c>
    </row>
    <row r="2" spans="1:5" x14ac:dyDescent="0.35">
      <c r="A2" t="s">
        <v>95</v>
      </c>
      <c r="B2" t="s">
        <v>83</v>
      </c>
      <c r="C2" s="1" t="s">
        <v>114</v>
      </c>
    </row>
    <row r="3" spans="1:5" x14ac:dyDescent="0.35">
      <c r="C3" s="1" t="s">
        <v>114</v>
      </c>
    </row>
    <row r="4" spans="1:5" x14ac:dyDescent="0.35">
      <c r="C4" s="1" t="s">
        <v>114</v>
      </c>
    </row>
    <row r="5" spans="1:5" x14ac:dyDescent="0.35">
      <c r="C5" s="1" t="s">
        <v>114</v>
      </c>
    </row>
    <row r="6" spans="1:5" x14ac:dyDescent="0.35">
      <c r="C6" s="1" t="s">
        <v>114</v>
      </c>
    </row>
    <row r="7" spans="1:5" x14ac:dyDescent="0.35">
      <c r="C7" s="1" t="s">
        <v>114</v>
      </c>
    </row>
    <row r="8" spans="1:5" x14ac:dyDescent="0.35">
      <c r="C8" s="1" t="s">
        <v>114</v>
      </c>
    </row>
    <row r="9" spans="1:5" x14ac:dyDescent="0.35">
      <c r="C9" s="1" t="s">
        <v>114</v>
      </c>
    </row>
    <row r="10" spans="1:5" x14ac:dyDescent="0.35">
      <c r="C10" s="1" t="s">
        <v>114</v>
      </c>
    </row>
  </sheetData>
  <pageMargins left="0.75" right="0.75" top="1" bottom="1" header="0.5" footer="0.5"/>
  <pageSetup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pane ySplit="1" topLeftCell="A2" activePane="bottomLeft" state="frozen"/>
      <selection pane="bottomLeft" activeCell="A3" sqref="A3"/>
    </sheetView>
  </sheetViews>
  <sheetFormatPr defaultRowHeight="15.5" x14ac:dyDescent="0.35"/>
  <cols>
    <col min="1" max="1" width="10.5" bestFit="1" customWidth="1"/>
    <col min="2" max="2" width="13.33203125" bestFit="1" customWidth="1"/>
    <col min="3" max="3" width="10" bestFit="1" customWidth="1"/>
    <col min="4" max="4" width="10.25" bestFit="1" customWidth="1"/>
    <col min="5" max="5" width="11.83203125" bestFit="1" customWidth="1"/>
    <col min="6" max="6" width="13.08203125" bestFit="1" customWidth="1"/>
  </cols>
  <sheetData>
    <row r="1" spans="1:6" s="3" customFormat="1" x14ac:dyDescent="0.35">
      <c r="A1" s="3" t="s">
        <v>0</v>
      </c>
      <c r="B1" s="3" t="s">
        <v>35</v>
      </c>
      <c r="C1" s="3" t="s">
        <v>2</v>
      </c>
      <c r="D1" s="3" t="s">
        <v>79</v>
      </c>
      <c r="E1" s="3" t="s">
        <v>80</v>
      </c>
      <c r="F1" s="3" t="s">
        <v>81</v>
      </c>
    </row>
    <row r="2" spans="1:6" x14ac:dyDescent="0.35">
      <c r="A2" t="s">
        <v>89</v>
      </c>
      <c r="B2" t="s">
        <v>82</v>
      </c>
      <c r="C2" t="s">
        <v>83</v>
      </c>
      <c r="D2" t="s">
        <v>84</v>
      </c>
      <c r="E2" t="s">
        <v>85</v>
      </c>
      <c r="F2" t="str">
        <f>B2</f>
        <v>taskName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workbookViewId="0">
      <pane ySplit="1" topLeftCell="A2" activePane="bottomLeft" state="frozen"/>
      <selection pane="bottomLeft" activeCell="A2" sqref="A2"/>
    </sheetView>
  </sheetViews>
  <sheetFormatPr defaultRowHeight="15.5" x14ac:dyDescent="0.35"/>
  <cols>
    <col min="1" max="1" width="13.08203125" bestFit="1" customWidth="1"/>
    <col min="2" max="2" width="14.5" bestFit="1" customWidth="1"/>
    <col min="3" max="3" width="19.83203125" bestFit="1" customWidth="1"/>
    <col min="4" max="4" width="23.75" bestFit="1" customWidth="1"/>
    <col min="5" max="5" width="15.6640625" bestFit="1" customWidth="1"/>
  </cols>
  <sheetData>
    <row r="1" spans="1:5" s="3" customFormat="1" x14ac:dyDescent="0.35">
      <c r="A1" s="3" t="s">
        <v>0</v>
      </c>
      <c r="B1" s="3" t="s">
        <v>91</v>
      </c>
      <c r="C1" s="3" t="s">
        <v>92</v>
      </c>
      <c r="D1" s="3" t="s">
        <v>93</v>
      </c>
      <c r="E1" s="3" t="s">
        <v>94</v>
      </c>
    </row>
    <row r="2" spans="1:5" x14ac:dyDescent="0.35">
      <c r="A2" t="s">
        <v>82</v>
      </c>
      <c r="B2" t="s">
        <v>84</v>
      </c>
    </row>
    <row r="3" spans="1:5" x14ac:dyDescent="0.35">
      <c r="A3" t="s">
        <v>82</v>
      </c>
      <c r="B3" t="s">
        <v>86</v>
      </c>
      <c r="C3" t="s">
        <v>87</v>
      </c>
      <c r="D3" t="s">
        <v>88</v>
      </c>
    </row>
    <row r="4" spans="1:5" x14ac:dyDescent="0.35">
      <c r="A4" t="s">
        <v>82</v>
      </c>
      <c r="B4" t="s">
        <v>90</v>
      </c>
      <c r="C4" t="s">
        <v>89</v>
      </c>
      <c r="D4" t="s">
        <v>88</v>
      </c>
      <c r="E4" t="s">
        <v>71</v>
      </c>
    </row>
    <row r="5" spans="1:5" x14ac:dyDescent="0.35">
      <c r="A5" t="s">
        <v>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pane ySplit="1" topLeftCell="A2" activePane="bottomLeft" state="frozen"/>
      <selection pane="bottomLeft" sqref="A1:XFD1048576"/>
    </sheetView>
  </sheetViews>
  <sheetFormatPr defaultRowHeight="15.5" x14ac:dyDescent="0.35"/>
  <cols>
    <col min="1" max="1" width="14.58203125" bestFit="1" customWidth="1"/>
    <col min="2" max="2" width="14.9140625" bestFit="1" customWidth="1"/>
    <col min="3" max="3" width="14" bestFit="1" customWidth="1"/>
    <col min="4" max="4" width="14.9140625" bestFit="1" customWidth="1"/>
    <col min="5" max="5" width="8.1640625" bestFit="1" customWidth="1"/>
    <col min="6" max="6" width="15.9140625" bestFit="1" customWidth="1"/>
  </cols>
  <sheetData>
    <row r="1" spans="1:6" s="3" customFormat="1" x14ac:dyDescent="0.35">
      <c r="A1" s="3" t="s">
        <v>35</v>
      </c>
      <c r="B1" s="3" t="s">
        <v>2</v>
      </c>
      <c r="C1" s="3" t="s">
        <v>36</v>
      </c>
      <c r="D1" s="3" t="s">
        <v>37</v>
      </c>
      <c r="E1" s="3" t="s">
        <v>38</v>
      </c>
      <c r="F1" s="3" t="s">
        <v>39</v>
      </c>
    </row>
    <row r="2" spans="1:6" x14ac:dyDescent="0.35">
      <c r="A2" t="s">
        <v>42</v>
      </c>
      <c r="B2" t="s">
        <v>33</v>
      </c>
      <c r="C2" t="s">
        <v>43</v>
      </c>
      <c r="D2" t="s">
        <v>33</v>
      </c>
    </row>
    <row r="3" spans="1:6" x14ac:dyDescent="0.35">
      <c r="A3" t="s">
        <v>44</v>
      </c>
      <c r="B3" t="s">
        <v>45</v>
      </c>
      <c r="C3" t="s">
        <v>56</v>
      </c>
      <c r="D3" t="s">
        <v>45</v>
      </c>
    </row>
    <row r="4" spans="1:6" x14ac:dyDescent="0.35">
      <c r="A4" t="s">
        <v>46</v>
      </c>
      <c r="B4" t="s">
        <v>47</v>
      </c>
      <c r="C4" t="s">
        <v>56</v>
      </c>
      <c r="D4" t="s">
        <v>47</v>
      </c>
    </row>
    <row r="5" spans="1:6" x14ac:dyDescent="0.35">
      <c r="A5" t="s">
        <v>48</v>
      </c>
      <c r="B5" t="s">
        <v>49</v>
      </c>
      <c r="C5" t="s">
        <v>56</v>
      </c>
      <c r="D5" t="s">
        <v>49</v>
      </c>
    </row>
    <row r="6" spans="1:6" x14ac:dyDescent="0.35">
      <c r="A6" t="s">
        <v>50</v>
      </c>
      <c r="B6" t="s">
        <v>51</v>
      </c>
      <c r="C6" t="s">
        <v>56</v>
      </c>
      <c r="D6" t="s">
        <v>51</v>
      </c>
    </row>
    <row r="7" spans="1:6" x14ac:dyDescent="0.35">
      <c r="A7" t="s">
        <v>52</v>
      </c>
      <c r="B7" t="s">
        <v>53</v>
      </c>
      <c r="C7" t="s">
        <v>56</v>
      </c>
      <c r="D7" t="s">
        <v>53</v>
      </c>
    </row>
    <row r="8" spans="1:6" x14ac:dyDescent="0.35">
      <c r="A8" t="s">
        <v>54</v>
      </c>
      <c r="B8" t="s">
        <v>55</v>
      </c>
      <c r="D8" t="s">
        <v>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pane ySplit="1" topLeftCell="A2" activePane="bottomLeft" state="frozen"/>
      <selection pane="bottomLeft" sqref="A1:XFD1048576"/>
    </sheetView>
  </sheetViews>
  <sheetFormatPr defaultRowHeight="15.5" x14ac:dyDescent="0.35"/>
  <cols>
    <col min="1" max="1" width="11.25" bestFit="1" customWidth="1"/>
  </cols>
  <sheetData>
    <row r="1" spans="1:1" s="3" customFormat="1" x14ac:dyDescent="0.35">
      <c r="A1" s="3" t="s">
        <v>66</v>
      </c>
    </row>
    <row r="2" spans="1:1" x14ac:dyDescent="0.35">
      <c r="A2" t="s">
        <v>67</v>
      </c>
    </row>
    <row r="3" spans="1:1" x14ac:dyDescent="0.35">
      <c r="A3" t="s">
        <v>68</v>
      </c>
    </row>
    <row r="4" spans="1:1" x14ac:dyDescent="0.35">
      <c r="A4" t="s">
        <v>69</v>
      </c>
    </row>
    <row r="5" spans="1:1" x14ac:dyDescent="0.35">
      <c r="A5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"/>
  <sheetViews>
    <sheetView workbookViewId="0">
      <pane ySplit="1" topLeftCell="A2" activePane="bottomLeft" state="frozen"/>
      <selection pane="bottomLeft" activeCell="A3" sqref="A3"/>
    </sheetView>
  </sheetViews>
  <sheetFormatPr defaultRowHeight="15.5" x14ac:dyDescent="0.35"/>
  <cols>
    <col min="1" max="1" width="13.33203125" bestFit="1" customWidth="1"/>
  </cols>
  <sheetData>
    <row r="1" spans="1:1" s="3" customFormat="1" x14ac:dyDescent="0.35">
      <c r="A1" s="3" t="s">
        <v>78</v>
      </c>
    </row>
    <row r="2" spans="1:1" x14ac:dyDescent="0.35">
      <c r="A2" t="s">
        <v>34</v>
      </c>
    </row>
    <row r="3" spans="1:1" x14ac:dyDescent="0.35">
      <c r="A3" t="s">
        <v>74</v>
      </c>
    </row>
    <row r="4" spans="1:1" x14ac:dyDescent="0.35">
      <c r="A4" t="s">
        <v>75</v>
      </c>
    </row>
    <row r="5" spans="1:1" x14ac:dyDescent="0.35">
      <c r="A5" t="s">
        <v>43</v>
      </c>
    </row>
    <row r="6" spans="1:1" x14ac:dyDescent="0.35">
      <c r="A6" t="s">
        <v>76</v>
      </c>
    </row>
    <row r="7" spans="1:1" x14ac:dyDescent="0.35">
      <c r="A7" t="s">
        <v>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pane ySplit="1" topLeftCell="A2" activePane="bottomLeft" state="frozen"/>
      <selection pane="bottomLeft" activeCell="F2" sqref="F2"/>
    </sheetView>
  </sheetViews>
  <sheetFormatPr defaultRowHeight="15.5" x14ac:dyDescent="0.35"/>
  <cols>
    <col min="1" max="1" width="11.25" bestFit="1" customWidth="1"/>
    <col min="2" max="2" width="5.9140625" bestFit="1" customWidth="1"/>
    <col min="3" max="3" width="5.6640625" bestFit="1" customWidth="1"/>
    <col min="4" max="4" width="14" bestFit="1" customWidth="1"/>
    <col min="5" max="5" width="16.08203125" bestFit="1" customWidth="1"/>
    <col min="6" max="6" width="22.58203125" bestFit="1" customWidth="1"/>
  </cols>
  <sheetData>
    <row r="1" spans="1:5" s="3" customFormat="1" x14ac:dyDescent="0.35">
      <c r="A1" s="3" t="s">
        <v>35</v>
      </c>
      <c r="B1" s="3" t="s">
        <v>2</v>
      </c>
      <c r="C1" s="3" t="s">
        <v>4</v>
      </c>
      <c r="D1" s="3" t="s">
        <v>40</v>
      </c>
      <c r="E1" s="3" t="s">
        <v>41</v>
      </c>
    </row>
    <row r="2" spans="1:5" x14ac:dyDescent="0.35">
      <c r="A2" t="s">
        <v>98</v>
      </c>
      <c r="B2" t="s">
        <v>33</v>
      </c>
      <c r="C2" t="s">
        <v>8</v>
      </c>
      <c r="D2" t="s">
        <v>96</v>
      </c>
      <c r="E2" t="s">
        <v>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pane ySplit="1" topLeftCell="A2" activePane="bottomLeft" state="frozen"/>
      <selection pane="bottomLeft" activeCell="B5" sqref="B5"/>
    </sheetView>
  </sheetViews>
  <sheetFormatPr defaultRowHeight="15.5" x14ac:dyDescent="0.35"/>
  <cols>
    <col min="1" max="1" width="24.9140625" bestFit="1" customWidth="1"/>
  </cols>
  <sheetData>
    <row r="1" spans="1:1" s="3" customFormat="1" x14ac:dyDescent="0.35">
      <c r="A1" s="3" t="s">
        <v>65</v>
      </c>
    </row>
    <row r="2" spans="1:1" x14ac:dyDescent="0.35">
      <c r="A2" t="s">
        <v>57</v>
      </c>
    </row>
    <row r="3" spans="1:1" x14ac:dyDescent="0.35">
      <c r="A3" t="s">
        <v>58</v>
      </c>
    </row>
    <row r="4" spans="1:1" x14ac:dyDescent="0.35">
      <c r="A4" t="s">
        <v>59</v>
      </c>
    </row>
    <row r="5" spans="1:1" x14ac:dyDescent="0.35">
      <c r="A5" t="s">
        <v>60</v>
      </c>
    </row>
    <row r="6" spans="1:1" x14ac:dyDescent="0.35">
      <c r="A6" t="s">
        <v>61</v>
      </c>
    </row>
    <row r="7" spans="1:1" x14ac:dyDescent="0.35">
      <c r="A7" t="s">
        <v>62</v>
      </c>
    </row>
    <row r="8" spans="1:1" x14ac:dyDescent="0.35">
      <c r="A8" t="s">
        <v>20</v>
      </c>
    </row>
    <row r="9" spans="1:1" x14ac:dyDescent="0.35">
      <c r="A9" t="s">
        <v>63</v>
      </c>
    </row>
    <row r="10" spans="1:1" x14ac:dyDescent="0.35">
      <c r="A10" t="s">
        <v>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5.5" x14ac:dyDescent="0.35"/>
  <cols>
    <col min="1" max="1" width="16.08203125" bestFit="1" customWidth="1"/>
    <col min="2" max="2" width="9.1640625" bestFit="1" customWidth="1"/>
    <col min="3" max="3" width="11.6640625" bestFit="1" customWidth="1"/>
  </cols>
  <sheetData>
    <row r="1" spans="1:3" s="3" customFormat="1" x14ac:dyDescent="0.35">
      <c r="A1" s="3" t="s">
        <v>35</v>
      </c>
      <c r="B1" s="3" t="s">
        <v>4</v>
      </c>
      <c r="C1" s="3" t="s">
        <v>2</v>
      </c>
    </row>
    <row r="2" spans="1:3" x14ac:dyDescent="0.35">
      <c r="A2" t="s">
        <v>71</v>
      </c>
      <c r="B2" t="s">
        <v>72</v>
      </c>
      <c r="C2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"/>
  <sheetViews>
    <sheetView workbookViewId="0">
      <pane ySplit="1" topLeftCell="A2" activePane="bottomLeft" state="frozen"/>
      <selection pane="bottomLeft" activeCell="F2" sqref="F2"/>
    </sheetView>
  </sheetViews>
  <sheetFormatPr defaultRowHeight="15.5" x14ac:dyDescent="0.35"/>
  <cols>
    <col min="1" max="1" width="6.5" bestFit="1" customWidth="1"/>
    <col min="2" max="2" width="24" bestFit="1" customWidth="1"/>
    <col min="3" max="3" width="9.6640625" bestFit="1" customWidth="1"/>
    <col min="4" max="4" width="15" bestFit="1" customWidth="1"/>
    <col min="5" max="5" width="17.9140625" bestFit="1" customWidth="1"/>
    <col min="6" max="6" width="24.5" bestFit="1" customWidth="1"/>
  </cols>
  <sheetData>
    <row r="1" spans="1:6" s="3" customFormat="1" x14ac:dyDescent="0.35">
      <c r="A1" s="3" t="s">
        <v>24</v>
      </c>
      <c r="B1" s="3" t="s">
        <v>25</v>
      </c>
      <c r="C1" s="3" t="s">
        <v>26</v>
      </c>
      <c r="D1" s="3" t="s">
        <v>28</v>
      </c>
      <c r="E1" s="3" t="s">
        <v>30</v>
      </c>
      <c r="F1" s="3" t="s">
        <v>31</v>
      </c>
    </row>
    <row r="2" spans="1:6" x14ac:dyDescent="0.35">
      <c r="A2" t="s">
        <v>27</v>
      </c>
      <c r="B2" t="s">
        <v>19</v>
      </c>
      <c r="C2" t="s">
        <v>18</v>
      </c>
      <c r="D2" t="s">
        <v>29</v>
      </c>
      <c r="E2" t="s">
        <v>20</v>
      </c>
      <c r="F2" t="s">
        <v>33</v>
      </c>
    </row>
    <row r="3" spans="1:6" x14ac:dyDescent="0.35">
      <c r="F3" t="s">
        <v>21</v>
      </c>
    </row>
    <row r="4" spans="1:6" x14ac:dyDescent="0.35">
      <c r="F4" t="s">
        <v>22</v>
      </c>
    </row>
    <row r="5" spans="1:6" x14ac:dyDescent="0.35">
      <c r="F5" t="s">
        <v>23</v>
      </c>
    </row>
  </sheetData>
  <dataValidations count="1">
    <dataValidation type="list" allowBlank="1" showInputMessage="1" showErrorMessage="1" sqref="B2">
      <formula1>#REF!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4"/>
  <sheetViews>
    <sheetView workbookViewId="0">
      <selection activeCell="I2" sqref="I2"/>
    </sheetView>
  </sheetViews>
  <sheetFormatPr defaultRowHeight="15.5" x14ac:dyDescent="0.35"/>
  <sheetData>
    <row r="1" spans="1:18" x14ac:dyDescent="0.35">
      <c r="A1" t="s">
        <v>1</v>
      </c>
      <c r="B1" t="s">
        <v>2</v>
      </c>
      <c r="C1" t="s">
        <v>100</v>
      </c>
      <c r="D1" t="s">
        <v>4</v>
      </c>
      <c r="E1" t="s">
        <v>5</v>
      </c>
      <c r="F1" t="s">
        <v>6</v>
      </c>
      <c r="G1" t="s">
        <v>7</v>
      </c>
      <c r="H1" t="s">
        <v>101</v>
      </c>
      <c r="I1" t="s">
        <v>102</v>
      </c>
      <c r="J1" t="s">
        <v>103</v>
      </c>
      <c r="K1" t="s">
        <v>9</v>
      </c>
      <c r="L1" t="s">
        <v>104</v>
      </c>
      <c r="M1" t="s">
        <v>105</v>
      </c>
      <c r="N1" t="s">
        <v>111</v>
      </c>
      <c r="O1" t="s">
        <v>16</v>
      </c>
      <c r="P1" t="s">
        <v>17</v>
      </c>
      <c r="Q1" t="s">
        <v>42</v>
      </c>
      <c r="R1" t="s">
        <v>32</v>
      </c>
    </row>
    <row r="2" spans="1:18" x14ac:dyDescent="0.35">
      <c r="H2" t="str">
        <f ca="1">TEXT(TODAY()-458,"YYYY-MM-DDTHH:mm:SS.000Z")</f>
        <v>2014-07-29T00:00:00.000Z</v>
      </c>
      <c r="I2" t="str">
        <f ca="1">TEXT(TODAY()-458,"YYYY-MM-DDTHH:mm:SS.000Z")</f>
        <v>2014-07-29T00:00:00.000Z</v>
      </c>
      <c r="J2" t="str">
        <f ca="1">TEXT(TODAY()-458,"YYYY-MM-DDTHH:mm:SS.000Z")</f>
        <v>2014-07-29T00:00:00.000Z</v>
      </c>
      <c r="K2" t="str">
        <f ca="1">TEXT(TODAY()-458,"YYYY-MM-DDTHH:mm:SS.000Z")</f>
        <v>2014-07-29T00:00:00.000Z</v>
      </c>
      <c r="L2" t="str">
        <f ca="1">TEXT(TODAY()-458,"YYYY-MM-DDTHH:mm:SS.000Z")</f>
        <v>2014-07-29T00:00:00.000Z</v>
      </c>
      <c r="M2" t="s">
        <v>106</v>
      </c>
      <c r="O2">
        <v>50.752096999999999</v>
      </c>
      <c r="P2">
        <v>-128.32202899999999</v>
      </c>
    </row>
    <row r="3" spans="1:18" x14ac:dyDescent="0.35">
      <c r="M3" t="s">
        <v>107</v>
      </c>
    </row>
    <row r="4" spans="1:18" x14ac:dyDescent="0.35">
      <c r="M4" t="s">
        <v>108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"/>
  <sheetViews>
    <sheetView workbookViewId="0">
      <selection activeCell="C1" sqref="C1"/>
    </sheetView>
  </sheetViews>
  <sheetFormatPr defaultRowHeight="15.5" x14ac:dyDescent="0.35"/>
  <cols>
    <col min="1" max="1" width="9.6640625" bestFit="1" customWidth="1"/>
    <col min="2" max="2" width="30" bestFit="1" customWidth="1"/>
  </cols>
  <sheetData>
    <row r="1" spans="1:3" x14ac:dyDescent="0.35">
      <c r="A1" t="s">
        <v>0</v>
      </c>
      <c r="B1" t="s">
        <v>109</v>
      </c>
      <c r="C1" t="s">
        <v>110</v>
      </c>
    </row>
    <row r="2" spans="1:3" x14ac:dyDescent="0.35">
      <c r="A2" t="str">
        <f>IF(ISBLANK('IntakeQ&amp;A'!C2),"-",'IntakeQ&amp;A'!C2)</f>
        <v>all</v>
      </c>
      <c r="B2">
        <f>'IntakeQ&amp;A'!D2</f>
        <v>0</v>
      </c>
      <c r="C2">
        <f>'IntakeQ&amp;A'!E2</f>
        <v>0</v>
      </c>
    </row>
    <row r="3" spans="1:3" x14ac:dyDescent="0.35">
      <c r="A3" t="str">
        <f>IF(ISBLANK('IntakeQ&amp;A'!C3),"-",'IntakeQ&amp;A'!C3)</f>
        <v>all</v>
      </c>
      <c r="B3">
        <f>'IntakeQ&amp;A'!D3</f>
        <v>0</v>
      </c>
      <c r="C3">
        <f>'IntakeQ&amp;A'!E3</f>
        <v>0</v>
      </c>
    </row>
    <row r="4" spans="1:3" x14ac:dyDescent="0.35">
      <c r="A4" t="str">
        <f>IF(ISBLANK('IntakeQ&amp;A'!C4),"-",'IntakeQ&amp;A'!C4)</f>
        <v>all</v>
      </c>
      <c r="B4">
        <f>'IntakeQ&amp;A'!D4</f>
        <v>0</v>
      </c>
      <c r="C4">
        <f>'IntakeQ&amp;A'!E4</f>
        <v>0</v>
      </c>
    </row>
    <row r="5" spans="1:3" x14ac:dyDescent="0.35">
      <c r="A5" t="str">
        <f>IF(ISBLANK('IntakeQ&amp;A'!C5),"-",'IntakeQ&amp;A'!C5)</f>
        <v>all</v>
      </c>
      <c r="B5">
        <f>'IntakeQ&amp;A'!D5</f>
        <v>0</v>
      </c>
      <c r="C5">
        <f>'IntakeQ&amp;A'!E5</f>
        <v>0</v>
      </c>
    </row>
    <row r="6" spans="1:3" x14ac:dyDescent="0.35">
      <c r="A6" t="str">
        <f>IF(ISBLANK('IntakeQ&amp;A'!C6),"-",'IntakeQ&amp;A'!C6)</f>
        <v>all</v>
      </c>
      <c r="B6">
        <f>'IntakeQ&amp;A'!D6</f>
        <v>0</v>
      </c>
      <c r="C6">
        <f>'IntakeQ&amp;A'!E6</f>
        <v>0</v>
      </c>
    </row>
    <row r="7" spans="1:3" x14ac:dyDescent="0.35">
      <c r="A7" t="str">
        <f>IF(ISBLANK('IntakeQ&amp;A'!C7),"-",'IntakeQ&amp;A'!C7)</f>
        <v>all</v>
      </c>
      <c r="B7">
        <f>'IntakeQ&amp;A'!D7</f>
        <v>0</v>
      </c>
      <c r="C7">
        <f>'IntakeQ&amp;A'!E7</f>
        <v>0</v>
      </c>
    </row>
    <row r="8" spans="1:3" x14ac:dyDescent="0.35">
      <c r="A8" t="str">
        <f>IF(ISBLANK('IntakeQ&amp;A'!C8),"-",'IntakeQ&amp;A'!C8)</f>
        <v>all</v>
      </c>
      <c r="B8">
        <f>'IntakeQ&amp;A'!D8</f>
        <v>0</v>
      </c>
      <c r="C8">
        <f>'IntakeQ&amp;A'!E8</f>
        <v>0</v>
      </c>
    </row>
    <row r="9" spans="1:3" x14ac:dyDescent="0.35">
      <c r="A9" t="str">
        <f>IF(ISBLANK('IntakeQ&amp;A'!C9),"-",'IntakeQ&amp;A'!C9)</f>
        <v>all</v>
      </c>
      <c r="B9">
        <f>'IntakeQ&amp;A'!D9</f>
        <v>0</v>
      </c>
      <c r="C9">
        <f>'IntakeQ&amp;A'!E9</f>
        <v>0</v>
      </c>
    </row>
    <row r="10" spans="1:3" x14ac:dyDescent="0.35">
      <c r="A10" t="str">
        <f>IF(ISBLANK('IntakeQ&amp;A'!C10),"-",'IntakeQ&amp;A'!C10)</f>
        <v>all</v>
      </c>
      <c r="B10">
        <f>'IntakeQ&amp;A'!D10</f>
        <v>0</v>
      </c>
      <c r="C10">
        <f>'IntakeQ&amp;A'!E10</f>
        <v>0</v>
      </c>
    </row>
    <row r="11" spans="1:3" x14ac:dyDescent="0.35">
      <c r="A11" t="str">
        <f>IF(ISBLANK('IntakeQ&amp;A'!C11),"-",'IntakeQ&amp;A'!C11)</f>
        <v>-</v>
      </c>
      <c r="B11">
        <f>'IntakeQ&amp;A'!D11</f>
        <v>0</v>
      </c>
      <c r="C11">
        <f>'IntakeQ&amp;A'!E11</f>
        <v>0</v>
      </c>
    </row>
    <row r="12" spans="1:3" x14ac:dyDescent="0.35">
      <c r="A12" t="str">
        <f>IF(ISBLANK('IntakeQ&amp;A'!C12),"-",'IntakeQ&amp;A'!C12)</f>
        <v>-</v>
      </c>
      <c r="B12">
        <f>'IntakeQ&amp;A'!D12</f>
        <v>0</v>
      </c>
      <c r="C12">
        <f>'IntakeQ&amp;A'!E12</f>
        <v>0</v>
      </c>
    </row>
    <row r="13" spans="1:3" x14ac:dyDescent="0.35">
      <c r="A13" t="str">
        <f>IF(ISBLANK('IntakeQ&amp;A'!C13),"-",'IntakeQ&amp;A'!C13)</f>
        <v>-</v>
      </c>
      <c r="B13">
        <f>'IntakeQ&amp;A'!D13</f>
        <v>0</v>
      </c>
      <c r="C13">
        <f>'IntakeQ&amp;A'!E13</f>
        <v>0</v>
      </c>
    </row>
    <row r="14" spans="1:3" x14ac:dyDescent="0.35">
      <c r="A14" t="str">
        <f>IF(ISBLANK('IntakeQ&amp;A'!C14),"-",'IntakeQ&amp;A'!C14)</f>
        <v>-</v>
      </c>
      <c r="B14">
        <f>'IntakeQ&amp;A'!D14</f>
        <v>0</v>
      </c>
      <c r="C14">
        <f>'IntakeQ&amp;A'!E14</f>
        <v>0</v>
      </c>
    </row>
    <row r="15" spans="1:3" x14ac:dyDescent="0.35">
      <c r="A15" t="str">
        <f>IF(ISBLANK('IntakeQ&amp;A'!C15),"-",'IntakeQ&amp;A'!C15)</f>
        <v>-</v>
      </c>
      <c r="B15">
        <f>'IntakeQ&amp;A'!D15</f>
        <v>0</v>
      </c>
      <c r="C15">
        <f>'IntakeQ&amp;A'!E15</f>
        <v>0</v>
      </c>
    </row>
    <row r="16" spans="1:3" x14ac:dyDescent="0.35">
      <c r="A16" t="str">
        <f>IF(ISBLANK('IntakeQ&amp;A'!C16),"-",'IntakeQ&amp;A'!C16)</f>
        <v>-</v>
      </c>
      <c r="B16">
        <f>'IntakeQ&amp;A'!D16</f>
        <v>0</v>
      </c>
      <c r="C16">
        <f>'IntakeQ&amp;A'!E16</f>
        <v>0</v>
      </c>
    </row>
    <row r="17" spans="1:3" x14ac:dyDescent="0.35">
      <c r="A17" t="str">
        <f>IF(ISBLANK('IntakeQ&amp;A'!C17),"-",'IntakeQ&amp;A'!C17)</f>
        <v>-</v>
      </c>
      <c r="B17">
        <f>'IntakeQ&amp;A'!D17</f>
        <v>0</v>
      </c>
      <c r="C17">
        <f>'IntakeQ&amp;A'!E17</f>
        <v>0</v>
      </c>
    </row>
    <row r="18" spans="1:3" x14ac:dyDescent="0.35">
      <c r="A18" t="str">
        <f>IF(ISBLANK('IntakeQ&amp;A'!C18),"-",'IntakeQ&amp;A'!C18)</f>
        <v>-</v>
      </c>
      <c r="B18">
        <f>'IntakeQ&amp;A'!D18</f>
        <v>0</v>
      </c>
      <c r="C18">
        <f>'IntakeQ&amp;A'!E18</f>
        <v>0</v>
      </c>
    </row>
    <row r="19" spans="1:3" x14ac:dyDescent="0.35">
      <c r="A19" t="str">
        <f>IF(ISBLANK('IntakeQ&amp;A'!C19),"-",'IntakeQ&amp;A'!C19)</f>
        <v>-</v>
      </c>
      <c r="B19">
        <f>'IntakeQ&amp;A'!D19</f>
        <v>0</v>
      </c>
      <c r="C19">
        <f>'IntakeQ&amp;A'!E19</f>
        <v>0</v>
      </c>
    </row>
    <row r="20" spans="1:3" x14ac:dyDescent="0.35">
      <c r="A20" t="str">
        <f>IF(ISBLANK('IntakeQ&amp;A'!C20),"-",'IntakeQ&amp;A'!C20)</f>
        <v>-</v>
      </c>
      <c r="B20">
        <f>'IntakeQ&amp;A'!D20</f>
        <v>0</v>
      </c>
      <c r="C20">
        <f>'IntakeQ&amp;A'!E20</f>
        <v>0</v>
      </c>
    </row>
    <row r="21" spans="1:3" x14ac:dyDescent="0.35">
      <c r="A21" t="str">
        <f>IF(ISBLANK('IntakeQ&amp;A'!C21),"-",'IntakeQ&amp;A'!C21)</f>
        <v>-</v>
      </c>
      <c r="B21">
        <f>'IntakeQ&amp;A'!D21</f>
        <v>0</v>
      </c>
      <c r="C21">
        <f>'IntakeQ&amp;A'!E21</f>
        <v>0</v>
      </c>
    </row>
    <row r="22" spans="1:3" x14ac:dyDescent="0.35">
      <c r="A22" t="str">
        <f>IF(ISBLANK('IntakeQ&amp;A'!C22),"-",'IntakeQ&amp;A'!C22)</f>
        <v>-</v>
      </c>
      <c r="B22">
        <f>'IntakeQ&amp;A'!D22</f>
        <v>0</v>
      </c>
      <c r="C22">
        <f>'IntakeQ&amp;A'!E22</f>
        <v>0</v>
      </c>
    </row>
    <row r="23" spans="1:3" x14ac:dyDescent="0.35">
      <c r="A23" t="str">
        <f>IF(ISBLANK('IntakeQ&amp;A'!C23),"-",'IntakeQ&amp;A'!C23)</f>
        <v>-</v>
      </c>
      <c r="B23">
        <f>'IntakeQ&amp;A'!D23</f>
        <v>0</v>
      </c>
      <c r="C23">
        <f>'IntakeQ&amp;A'!E23</f>
        <v>0</v>
      </c>
    </row>
    <row r="24" spans="1:3" x14ac:dyDescent="0.35">
      <c r="A24" t="str">
        <f>IF(ISBLANK('IntakeQ&amp;A'!C24),"-",'IntakeQ&amp;A'!C24)</f>
        <v>-</v>
      </c>
      <c r="B24">
        <f>'IntakeQ&amp;A'!D24</f>
        <v>0</v>
      </c>
      <c r="C24">
        <f>'IntakeQ&amp;A'!E24</f>
        <v>0</v>
      </c>
    </row>
    <row r="25" spans="1:3" x14ac:dyDescent="0.35">
      <c r="A25" t="str">
        <f>IF(ISBLANK('IntakeQ&amp;A'!C25),"-",'IntakeQ&amp;A'!C25)</f>
        <v>-</v>
      </c>
      <c r="B25">
        <f>'IntakeQ&amp;A'!D25</f>
        <v>0</v>
      </c>
      <c r="C25">
        <f>'IntakeQ&amp;A'!E25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20" sqref="B20"/>
    </sheetView>
  </sheetViews>
  <sheetFormatPr defaultRowHeight="15.5" x14ac:dyDescent="0.3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"/>
  <sheetViews>
    <sheetView workbookViewId="0">
      <selection activeCell="A3" sqref="A3"/>
    </sheetView>
  </sheetViews>
  <sheetFormatPr defaultColWidth="10.6640625" defaultRowHeight="15.5" x14ac:dyDescent="0.35"/>
  <cols>
    <col min="8" max="8" width="8.1640625" bestFit="1" customWidth="1"/>
    <col min="9" max="9" width="17.83203125" bestFit="1" customWidth="1"/>
    <col min="10" max="10" width="18" bestFit="1" customWidth="1"/>
    <col min="11" max="11" width="22.58203125" style="2" bestFit="1" customWidth="1"/>
    <col min="12" max="12" width="24.5" bestFit="1" customWidth="1"/>
    <col min="13" max="15" width="22.58203125" style="2" bestFit="1" customWidth="1"/>
    <col min="16" max="16" width="7.6640625" bestFit="1" customWidth="1"/>
    <col min="17" max="17" width="9.75" bestFit="1" customWidth="1"/>
  </cols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2" t="s">
        <v>10</v>
      </c>
      <c r="L1" t="s">
        <v>11</v>
      </c>
      <c r="M1" s="2" t="s">
        <v>12</v>
      </c>
      <c r="N1" s="2" t="s">
        <v>13</v>
      </c>
      <c r="O1" s="2" t="s">
        <v>14</v>
      </c>
      <c r="P1" t="s">
        <v>15</v>
      </c>
      <c r="Q1" t="s">
        <v>16</v>
      </c>
      <c r="R1" t="s">
        <v>17</v>
      </c>
      <c r="S1" t="s">
        <v>32</v>
      </c>
    </row>
    <row r="2" spans="1:19" x14ac:dyDescent="0.35">
      <c r="A2" t="e">
        <f>C2</f>
        <v>#REF!</v>
      </c>
      <c r="B2" t="e">
        <f>VLOOKUP('IntakeQ&amp;A'!#REF!,lookups!B:C,2,FALSE)</f>
        <v>#REF!</v>
      </c>
      <c r="C2" t="e">
        <f>'IntakeQ&amp;A'!#REF!</f>
        <v>#REF!</v>
      </c>
      <c r="D2" t="e">
        <f>'IntakeQ&amp;A'!#REF!</f>
        <v>#REF!</v>
      </c>
      <c r="E2" t="e">
        <f>'IntakeQ&amp;A'!#REF!</f>
        <v>#REF!</v>
      </c>
      <c r="F2" t="e">
        <f>'IntakeQ&amp;A'!#REF!</f>
        <v>#REF!</v>
      </c>
      <c r="G2" t="e">
        <f>'IntakeQ&amp;A'!#REF!</f>
        <v>#REF!</v>
      </c>
      <c r="H2" t="e">
        <f>'IntakeQ&amp;A'!#REF!</f>
        <v>#REF!</v>
      </c>
      <c r="I2" t="e">
        <f>'IntakeQ&amp;A'!#REF!</f>
        <v>#REF!</v>
      </c>
      <c r="J2" t="e">
        <f>'IntakeQ&amp;A'!#REF!</f>
        <v>#REF!</v>
      </c>
      <c r="K2" s="2" t="e">
        <f ca="1">IF('IntakeQ&amp;A'!#REF! &lt; 10000, TODAY()+'IntakeQ&amp;A'!#REF!,'IntakeQ&amp;A'!#REF!)</f>
        <v>#REF!</v>
      </c>
      <c r="L2" t="e">
        <f>'IntakeQ&amp;A'!#REF!</f>
        <v>#REF!</v>
      </c>
      <c r="M2" s="2" t="e">
        <f ca="1">IF('IntakeQ&amp;A'!#REF! &lt; 10000, TODAY()+'IntakeQ&amp;A'!#REF!,'IntakeQ&amp;A'!#REF!)</f>
        <v>#REF!</v>
      </c>
      <c r="N2" s="2" t="e">
        <f ca="1">IF('IntakeQ&amp;A'!#REF! &lt; 10000, TODAY()+'IntakeQ&amp;A'!#REF!,'IntakeQ&amp;A'!#REF!)</f>
        <v>#REF!</v>
      </c>
      <c r="O2" s="2" t="e">
        <f ca="1">IF('IntakeQ&amp;A'!#REF! &lt; 10000, TODAY()+'IntakeQ&amp;A'!#REF!,'IntakeQ&amp;A'!#REF!)</f>
        <v>#REF!</v>
      </c>
      <c r="P2" t="e">
        <f>'IntakeQ&amp;A'!#REF!</f>
        <v>#REF!</v>
      </c>
      <c r="Q2" t="e">
        <f>'IntakeQ&amp;A'!#REF!</f>
        <v>#REF!</v>
      </c>
      <c r="R2" t="e">
        <f>'IntakeQ&amp;A'!#REF!</f>
        <v>#REF!</v>
      </c>
      <c r="S2" t="e">
        <f>"rg:dataset(""phases.csv"","""&amp;C2&amp;""")"</f>
        <v>#REF!</v>
      </c>
    </row>
  </sheetData>
  <pageMargins left="0.75" right="0.75" top="1" bottom="1" header="0.5" footer="0.5"/>
  <pageSetup orientation="portrait" horizontalDpi="4294967292" verticalDpi="4294967292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>
      <selection activeCell="E2" sqref="E2"/>
    </sheetView>
  </sheetViews>
  <sheetFormatPr defaultRowHeight="15.5" x14ac:dyDescent="0.35"/>
  <cols>
    <col min="1" max="1" width="24" bestFit="1" customWidth="1"/>
  </cols>
  <sheetData>
    <row r="1" spans="1:7" x14ac:dyDescent="0.35">
      <c r="A1" t="s">
        <v>0</v>
      </c>
      <c r="B1" t="str">
        <f>Project!B1</f>
        <v>Name</v>
      </c>
      <c r="C1" t="str">
        <f>Project!C1</f>
        <v>Proponent</v>
      </c>
      <c r="D1" t="str">
        <f>Project!D1</f>
        <v>Type</v>
      </c>
      <c r="E1" t="str">
        <f>Project!E1</f>
        <v>Description</v>
      </c>
      <c r="F1" t="e">
        <f>Project!#REF!</f>
        <v>#REF!</v>
      </c>
      <c r="G1" t="e">
        <f>Project!#REF!</f>
        <v>#REF!</v>
      </c>
    </row>
    <row r="2" spans="1:7" x14ac:dyDescent="0.35">
      <c r="A2" t="s">
        <v>19</v>
      </c>
      <c r="B2" t="e">
        <f>Project!#REF!</f>
        <v>#REF!</v>
      </c>
      <c r="C2" t="e">
        <f>Project!#REF!</f>
        <v>#REF!</v>
      </c>
      <c r="D2" t="e">
        <f ca="1">IF(Project!#REF! &lt; 10000, TODAY()+Project!#REF!,Project!#REF!)</f>
        <v>#REF!</v>
      </c>
      <c r="E2" t="e">
        <f ca="1">IF(Project!#REF! &lt; 10000, TODAY()+Project!#REF!,Project!#REF!)</f>
        <v>#REF!</v>
      </c>
      <c r="F2" t="e">
        <f ca="1">IF(Project!#REF! &lt; 10000, TODAY()+Project!#REF!,Project!#REF!)</f>
        <v>#REF!</v>
      </c>
      <c r="G2" t="e">
        <f ca="1">IF(Project!#REF! &lt; 10000, TODAY()+Project!#REF!,Project!#REF!)</f>
        <v>#REF!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Project</vt:lpstr>
      <vt:lpstr>IntakeQ&amp;A</vt:lpstr>
      <vt:lpstr>Tasks</vt:lpstr>
      <vt:lpstr>TaskValues</vt:lpstr>
      <vt:lpstr>ProjectPhases</vt:lpstr>
      <vt:lpstr>ProjectRoles</vt:lpstr>
      <vt:lpstr>Roles</vt:lpstr>
      <vt:lpstr>Buckets</vt:lpstr>
      <vt:lpstr>ProjectTypes</vt:lpstr>
      <vt:lpstr>Requirements</vt:lpstr>
      <vt:lpstr>lookups</vt:lpstr>
      <vt:lpstr>project.csv</vt:lpstr>
      <vt:lpstr>intakeqa.csv</vt:lpstr>
      <vt:lpstr>sysRoles.csv</vt:lpstr>
      <vt:lpstr>sysTasks.csv</vt:lpstr>
      <vt:lpstr>sysBuckets.csv</vt:lpstr>
      <vt:lpstr>sysProjectPhases.csv</vt:lpstr>
      <vt:lpstr>sysProjectRoles.csv</vt:lpstr>
      <vt:lpstr>sysProjectTypes.csv</vt:lpstr>
      <vt:lpstr>sysRequirements.csv</vt:lpstr>
    </vt:vector>
  </TitlesOfParts>
  <Company>Cloud Compass Computing,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2014-01-20T19:06:27Z</dcterms:created>
  <dcterms:modified xsi:type="dcterms:W3CDTF">2015-10-30T20:54:38Z</dcterms:modified>
</cp:coreProperties>
</file>