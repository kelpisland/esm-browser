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5000" windowHeight="17480" tabRatio="815"/>
  </bookViews>
  <sheets>
    <sheet name="Team" sheetId="8" r:id="rId1"/>
    <sheet name="Deliverables" sheetId="15" r:id="rId2"/>
    <sheet name="Buckets" sheetId="18" r:id="rId3"/>
    <sheet name="Requirements" sheetId="20" r:id="rId4"/>
    <sheet name="Audit" sheetId="22" r:id="rId5"/>
    <sheet name="Public Comments" sheetId="25" r:id="rId6"/>
    <sheet name="Notifications" sheetId="27" r:id="rId7"/>
    <sheet name="Issues" sheetId="29" r:id="rId8"/>
    <sheet name="Responses" sheetId="31" r:id="rId9"/>
    <sheet name="Approvals" sheetId="33" r:id="rId10"/>
    <sheet name="Conditions" sheetId="35" r:id="rId11"/>
    <sheet name="conditions.csv" sheetId="34" r:id="rId12"/>
    <sheet name="approvals.csv" sheetId="32" r:id="rId13"/>
    <sheet name="responses.csv" sheetId="30" r:id="rId14"/>
    <sheet name="issues.csv" sheetId="28" r:id="rId15"/>
    <sheet name="notifications.csv" sheetId="26" r:id="rId16"/>
    <sheet name="publiccomments.csv" sheetId="24" r:id="rId17"/>
    <sheet name="audit.csv" sheetId="23" r:id="rId18"/>
    <sheet name="data.csv" sheetId="21" r:id="rId19"/>
    <sheet name="requirements.csv" sheetId="19" r:id="rId20"/>
    <sheet name="buckets.csv" sheetId="17" r:id="rId21"/>
    <sheet name="deliverables.csv" sheetId="16" r:id="rId22"/>
    <sheet name="team.csv" sheetId="14" r:id="rId23"/>
  </sheets>
  <calcPr calcId="162913" concurrentCalc="0"/>
</workbook>
</file>

<file path=xl/calcChain.xml><?xml version="1.0" encoding="utf-8"?>
<calcChain xmlns="http://schemas.openxmlformats.org/spreadsheetml/2006/main">
  <c r="G2" i="21" l="1"/>
  <c r="G26" i="34"/>
  <c r="F26" i="34"/>
  <c r="E26" i="34"/>
  <c r="D26" i="34"/>
  <c r="C26" i="34"/>
  <c r="B26" i="34"/>
  <c r="A26" i="34"/>
  <c r="G25" i="34"/>
  <c r="F25" i="34"/>
  <c r="E25" i="34"/>
  <c r="D25" i="34"/>
  <c r="C25" i="34"/>
  <c r="B25" i="34"/>
  <c r="A25" i="34"/>
  <c r="G24" i="34"/>
  <c r="F24" i="34"/>
  <c r="E24" i="34"/>
  <c r="D24" i="34"/>
  <c r="C24" i="34"/>
  <c r="B24" i="34"/>
  <c r="A24" i="34"/>
  <c r="G23" i="34"/>
  <c r="F23" i="34"/>
  <c r="E23" i="34"/>
  <c r="D23" i="34"/>
  <c r="C23" i="34"/>
  <c r="B23" i="34"/>
  <c r="A23" i="34"/>
  <c r="G22" i="34"/>
  <c r="F22" i="34"/>
  <c r="E22" i="34"/>
  <c r="D22" i="34"/>
  <c r="C22" i="34"/>
  <c r="B22" i="34"/>
  <c r="A22" i="34"/>
  <c r="G21" i="34"/>
  <c r="F21" i="34"/>
  <c r="E21" i="34"/>
  <c r="D21" i="34"/>
  <c r="C21" i="34"/>
  <c r="B21" i="34"/>
  <c r="A21" i="34"/>
  <c r="G20" i="34"/>
  <c r="F20" i="34"/>
  <c r="E20" i="34"/>
  <c r="D20" i="34"/>
  <c r="C20" i="34"/>
  <c r="B20" i="34"/>
  <c r="A20" i="34"/>
  <c r="G19" i="34"/>
  <c r="F19" i="34"/>
  <c r="E19" i="34"/>
  <c r="D19" i="34"/>
  <c r="C19" i="34"/>
  <c r="B19" i="34"/>
  <c r="A19" i="34"/>
  <c r="G18" i="34"/>
  <c r="F18" i="34"/>
  <c r="E18" i="34"/>
  <c r="D18" i="34"/>
  <c r="C18" i="34"/>
  <c r="B18" i="34"/>
  <c r="A18" i="34"/>
  <c r="G17" i="34"/>
  <c r="F17" i="34"/>
  <c r="E17" i="34"/>
  <c r="D17" i="34"/>
  <c r="C17" i="34"/>
  <c r="B17" i="34"/>
  <c r="A17" i="34"/>
  <c r="G16" i="34"/>
  <c r="F16" i="34"/>
  <c r="E16" i="34"/>
  <c r="D16" i="34"/>
  <c r="C16" i="34"/>
  <c r="B16" i="34"/>
  <c r="A16" i="34"/>
  <c r="G15" i="34"/>
  <c r="F15" i="34"/>
  <c r="E15" i="34"/>
  <c r="D15" i="34"/>
  <c r="C15" i="34"/>
  <c r="B15" i="34"/>
  <c r="A15" i="34"/>
  <c r="G14" i="34"/>
  <c r="F14" i="34"/>
  <c r="E14" i="34"/>
  <c r="D14" i="34"/>
  <c r="C14" i="34"/>
  <c r="B14" i="34"/>
  <c r="A14" i="34"/>
  <c r="G13" i="34"/>
  <c r="F13" i="34"/>
  <c r="E13" i="34"/>
  <c r="D13" i="34"/>
  <c r="C13" i="34"/>
  <c r="B13" i="34"/>
  <c r="A13" i="34"/>
  <c r="G12" i="34"/>
  <c r="F12" i="34"/>
  <c r="E12" i="34"/>
  <c r="D12" i="34"/>
  <c r="C12" i="34"/>
  <c r="B12" i="34"/>
  <c r="A12" i="34"/>
  <c r="G11" i="34"/>
  <c r="F11" i="34"/>
  <c r="E11" i="34"/>
  <c r="D11" i="34"/>
  <c r="C11" i="34"/>
  <c r="B11" i="34"/>
  <c r="A11" i="34"/>
  <c r="G10" i="34"/>
  <c r="F10" i="34"/>
  <c r="E10" i="34"/>
  <c r="D10" i="34"/>
  <c r="C10" i="34"/>
  <c r="B10" i="34"/>
  <c r="A10" i="34"/>
  <c r="G9" i="34"/>
  <c r="F9" i="34"/>
  <c r="E9" i="34"/>
  <c r="D9" i="34"/>
  <c r="C9" i="34"/>
  <c r="B9" i="34"/>
  <c r="A9" i="34"/>
  <c r="G8" i="34"/>
  <c r="F8" i="34"/>
  <c r="E8" i="34"/>
  <c r="D8" i="34"/>
  <c r="C8" i="34"/>
  <c r="B8" i="34"/>
  <c r="A8" i="34"/>
  <c r="G7" i="34"/>
  <c r="F7" i="34"/>
  <c r="E7" i="34"/>
  <c r="D7" i="34"/>
  <c r="C7" i="34"/>
  <c r="B7" i="34"/>
  <c r="A7" i="34"/>
  <c r="G6" i="34"/>
  <c r="F6" i="34"/>
  <c r="E6" i="34"/>
  <c r="D6" i="34"/>
  <c r="C6" i="34"/>
  <c r="B6" i="34"/>
  <c r="A6" i="34"/>
  <c r="G5" i="34"/>
  <c r="F5" i="34"/>
  <c r="E5" i="34"/>
  <c r="D5" i="34"/>
  <c r="C5" i="34"/>
  <c r="B5" i="34"/>
  <c r="A5" i="34"/>
  <c r="G4" i="34"/>
  <c r="F4" i="34"/>
  <c r="E4" i="34"/>
  <c r="D4" i="34"/>
  <c r="C4" i="34"/>
  <c r="B4" i="34"/>
  <c r="A4" i="34"/>
  <c r="G3" i="34"/>
  <c r="F3" i="34"/>
  <c r="E3" i="34"/>
  <c r="D3" i="34"/>
  <c r="C3" i="34"/>
  <c r="B3" i="34"/>
  <c r="A3" i="34"/>
  <c r="G2" i="34"/>
  <c r="D2" i="34"/>
  <c r="C2" i="34"/>
  <c r="F2" i="34"/>
  <c r="E2" i="34"/>
  <c r="B2" i="34"/>
  <c r="A2" i="34"/>
  <c r="B2" i="35"/>
  <c r="F2" i="21"/>
  <c r="B3" i="33"/>
  <c r="E26" i="32"/>
  <c r="D26" i="32"/>
  <c r="C26" i="32"/>
  <c r="B26" i="32"/>
  <c r="A26" i="32"/>
  <c r="E25" i="32"/>
  <c r="D25" i="32"/>
  <c r="C25" i="32"/>
  <c r="B25" i="32"/>
  <c r="A25" i="32"/>
  <c r="E24" i="32"/>
  <c r="D24" i="32"/>
  <c r="C24" i="32"/>
  <c r="B24" i="32"/>
  <c r="A24" i="32"/>
  <c r="E23" i="32"/>
  <c r="D23" i="32"/>
  <c r="C23" i="32"/>
  <c r="B23" i="32"/>
  <c r="A23" i="32"/>
  <c r="E22" i="32"/>
  <c r="D22" i="32"/>
  <c r="C22" i="32"/>
  <c r="B22" i="32"/>
  <c r="A22" i="32"/>
  <c r="E21" i="32"/>
  <c r="D21" i="32"/>
  <c r="C21" i="32"/>
  <c r="B21" i="32"/>
  <c r="A21" i="32"/>
  <c r="E20" i="32"/>
  <c r="D20" i="32"/>
  <c r="C20" i="32"/>
  <c r="B20" i="32"/>
  <c r="A20" i="32"/>
  <c r="E19" i="32"/>
  <c r="D19" i="32"/>
  <c r="C19" i="32"/>
  <c r="B19" i="32"/>
  <c r="A19" i="32"/>
  <c r="E18" i="32"/>
  <c r="D18" i="32"/>
  <c r="C18" i="32"/>
  <c r="B18" i="32"/>
  <c r="A18" i="32"/>
  <c r="E17" i="32"/>
  <c r="D17" i="32"/>
  <c r="C17" i="32"/>
  <c r="B17" i="32"/>
  <c r="A17" i="32"/>
  <c r="E16" i="32"/>
  <c r="D16" i="32"/>
  <c r="C16" i="32"/>
  <c r="B16" i="32"/>
  <c r="A16" i="32"/>
  <c r="E15" i="32"/>
  <c r="D15" i="32"/>
  <c r="C15" i="32"/>
  <c r="B15" i="32"/>
  <c r="A15" i="32"/>
  <c r="E14" i="32"/>
  <c r="D14" i="32"/>
  <c r="C14" i="32"/>
  <c r="B14" i="32"/>
  <c r="A14" i="32"/>
  <c r="E13" i="32"/>
  <c r="D13" i="32"/>
  <c r="C13" i="32"/>
  <c r="B13" i="32"/>
  <c r="A13" i="32"/>
  <c r="E12" i="32"/>
  <c r="D12" i="32"/>
  <c r="C12" i="32"/>
  <c r="B12" i="32"/>
  <c r="A12" i="32"/>
  <c r="E11" i="32"/>
  <c r="D11" i="32"/>
  <c r="C11" i="32"/>
  <c r="B11" i="32"/>
  <c r="A11" i="32"/>
  <c r="E10" i="32"/>
  <c r="D10" i="32"/>
  <c r="C10" i="32"/>
  <c r="B10" i="32"/>
  <c r="A10" i="32"/>
  <c r="E9" i="32"/>
  <c r="D9" i="32"/>
  <c r="C9" i="32"/>
  <c r="B9" i="32"/>
  <c r="A9" i="32"/>
  <c r="E8" i="32"/>
  <c r="D8" i="32"/>
  <c r="C8" i="32"/>
  <c r="B8" i="32"/>
  <c r="A8" i="32"/>
  <c r="E7" i="32"/>
  <c r="D7" i="32"/>
  <c r="C7" i="32"/>
  <c r="B7" i="32"/>
  <c r="A7" i="32"/>
  <c r="E6" i="32"/>
  <c r="D6" i="32"/>
  <c r="C6" i="32"/>
  <c r="B6" i="32"/>
  <c r="A6" i="32"/>
  <c r="E5" i="32"/>
  <c r="D5" i="32"/>
  <c r="C5" i="32"/>
  <c r="B5" i="32"/>
  <c r="A5" i="32"/>
  <c r="E4" i="32"/>
  <c r="D4" i="32"/>
  <c r="C4" i="32"/>
  <c r="B4" i="32"/>
  <c r="A4" i="32"/>
  <c r="E3" i="32"/>
  <c r="D3" i="32"/>
  <c r="C3" i="32"/>
  <c r="B3" i="32"/>
  <c r="A3" i="32"/>
  <c r="D2" i="32"/>
  <c r="C2" i="32"/>
  <c r="E2" i="32"/>
  <c r="B2" i="32"/>
  <c r="A2" i="32"/>
  <c r="B2" i="33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3" i="30"/>
  <c r="G2" i="30"/>
  <c r="K10" i="28"/>
  <c r="K9" i="28"/>
  <c r="K8" i="28"/>
  <c r="K7" i="28"/>
  <c r="K6" i="28"/>
  <c r="K5" i="28"/>
  <c r="K4" i="28"/>
  <c r="K3" i="28"/>
  <c r="K2" i="28"/>
  <c r="A2" i="30"/>
  <c r="B3" i="31"/>
  <c r="F24" i="30"/>
  <c r="E24" i="30"/>
  <c r="D24" i="30"/>
  <c r="C24" i="30"/>
  <c r="B24" i="30"/>
  <c r="A24" i="30"/>
  <c r="F23" i="30"/>
  <c r="E23" i="30"/>
  <c r="D23" i="30"/>
  <c r="C23" i="30"/>
  <c r="B23" i="30"/>
  <c r="A23" i="30"/>
  <c r="F22" i="30"/>
  <c r="E22" i="30"/>
  <c r="D22" i="30"/>
  <c r="C22" i="30"/>
  <c r="B22" i="30"/>
  <c r="A22" i="30"/>
  <c r="F21" i="30"/>
  <c r="E21" i="30"/>
  <c r="D21" i="30"/>
  <c r="C21" i="30"/>
  <c r="B21" i="30"/>
  <c r="A21" i="30"/>
  <c r="F20" i="30"/>
  <c r="E20" i="30"/>
  <c r="D20" i="30"/>
  <c r="C20" i="30"/>
  <c r="B20" i="30"/>
  <c r="A20" i="30"/>
  <c r="F19" i="30"/>
  <c r="E19" i="30"/>
  <c r="D19" i="30"/>
  <c r="C19" i="30"/>
  <c r="B19" i="30"/>
  <c r="A19" i="30"/>
  <c r="F18" i="30"/>
  <c r="E18" i="30"/>
  <c r="D18" i="30"/>
  <c r="C18" i="30"/>
  <c r="B18" i="30"/>
  <c r="A18" i="30"/>
  <c r="F17" i="30"/>
  <c r="E17" i="30"/>
  <c r="D17" i="30"/>
  <c r="C17" i="30"/>
  <c r="B17" i="30"/>
  <c r="A17" i="30"/>
  <c r="F16" i="30"/>
  <c r="E16" i="30"/>
  <c r="D16" i="30"/>
  <c r="C16" i="30"/>
  <c r="B16" i="30"/>
  <c r="A16" i="30"/>
  <c r="F15" i="30"/>
  <c r="E15" i="30"/>
  <c r="D15" i="30"/>
  <c r="C15" i="30"/>
  <c r="B15" i="30"/>
  <c r="A15" i="30"/>
  <c r="F14" i="30"/>
  <c r="E14" i="30"/>
  <c r="D14" i="30"/>
  <c r="C14" i="30"/>
  <c r="B14" i="30"/>
  <c r="A14" i="30"/>
  <c r="F13" i="30"/>
  <c r="E13" i="30"/>
  <c r="D13" i="30"/>
  <c r="C13" i="30"/>
  <c r="B13" i="30"/>
  <c r="A13" i="30"/>
  <c r="F12" i="30"/>
  <c r="E12" i="30"/>
  <c r="D12" i="30"/>
  <c r="C12" i="30"/>
  <c r="B12" i="30"/>
  <c r="A12" i="30"/>
  <c r="F11" i="30"/>
  <c r="E11" i="30"/>
  <c r="D11" i="30"/>
  <c r="C11" i="30"/>
  <c r="B11" i="30"/>
  <c r="A11" i="30"/>
  <c r="F10" i="30"/>
  <c r="E10" i="30"/>
  <c r="D10" i="30"/>
  <c r="C10" i="30"/>
  <c r="B10" i="30"/>
  <c r="A10" i="30"/>
  <c r="F9" i="30"/>
  <c r="E9" i="30"/>
  <c r="D9" i="30"/>
  <c r="C9" i="30"/>
  <c r="B9" i="30"/>
  <c r="A9" i="30"/>
  <c r="F8" i="30"/>
  <c r="E8" i="30"/>
  <c r="D8" i="30"/>
  <c r="C8" i="30"/>
  <c r="B8" i="30"/>
  <c r="A8" i="30"/>
  <c r="F7" i="30"/>
  <c r="E7" i="30"/>
  <c r="D7" i="30"/>
  <c r="C7" i="30"/>
  <c r="B7" i="30"/>
  <c r="A7" i="30"/>
  <c r="F6" i="30"/>
  <c r="E6" i="30"/>
  <c r="D6" i="30"/>
  <c r="C6" i="30"/>
  <c r="B6" i="30"/>
  <c r="A6" i="30"/>
  <c r="F5" i="30"/>
  <c r="E5" i="30"/>
  <c r="D5" i="30"/>
  <c r="C5" i="30"/>
  <c r="B5" i="30"/>
  <c r="A5" i="30"/>
  <c r="F4" i="30"/>
  <c r="E4" i="30"/>
  <c r="D4" i="30"/>
  <c r="C4" i="30"/>
  <c r="B4" i="30"/>
  <c r="A4" i="30"/>
  <c r="F3" i="30"/>
  <c r="E3" i="30"/>
  <c r="D3" i="30"/>
  <c r="C3" i="30"/>
  <c r="B3" i="30"/>
  <c r="A3" i="30"/>
  <c r="C2" i="30"/>
  <c r="F2" i="30"/>
  <c r="E2" i="30"/>
  <c r="D2" i="30"/>
  <c r="B2" i="30"/>
  <c r="B2" i="31"/>
  <c r="B10" i="28"/>
  <c r="B9" i="28"/>
  <c r="B8" i="28"/>
  <c r="B7" i="28"/>
  <c r="B6" i="28"/>
  <c r="B5" i="28"/>
  <c r="B4" i="28"/>
  <c r="B3" i="28"/>
  <c r="B2" i="28"/>
  <c r="B2" i="2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28" i="24"/>
  <c r="H27" i="24"/>
  <c r="H26" i="24"/>
  <c r="H25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5" i="24"/>
  <c r="H4" i="24"/>
  <c r="H3" i="24"/>
  <c r="H2" i="24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E2" i="23"/>
  <c r="E10" i="28"/>
  <c r="E9" i="28"/>
  <c r="E8" i="28"/>
  <c r="E7" i="28"/>
  <c r="E6" i="28"/>
  <c r="E5" i="28"/>
  <c r="E4" i="28"/>
  <c r="E3" i="28"/>
  <c r="E2" i="28"/>
  <c r="E2" i="21"/>
  <c r="J10" i="28"/>
  <c r="I10" i="28"/>
  <c r="H10" i="28"/>
  <c r="G10" i="28"/>
  <c r="F10" i="28"/>
  <c r="D10" i="28"/>
  <c r="C10" i="28"/>
  <c r="A10" i="28"/>
  <c r="J9" i="28"/>
  <c r="I9" i="28"/>
  <c r="H9" i="28"/>
  <c r="G9" i="28"/>
  <c r="F9" i="28"/>
  <c r="D9" i="28"/>
  <c r="C9" i="28"/>
  <c r="A9" i="28"/>
  <c r="J8" i="28"/>
  <c r="I8" i="28"/>
  <c r="H8" i="28"/>
  <c r="G8" i="28"/>
  <c r="F8" i="28"/>
  <c r="D8" i="28"/>
  <c r="C8" i="28"/>
  <c r="A8" i="28"/>
  <c r="J7" i="28"/>
  <c r="I7" i="28"/>
  <c r="H7" i="28"/>
  <c r="G7" i="28"/>
  <c r="F7" i="28"/>
  <c r="D7" i="28"/>
  <c r="C7" i="28"/>
  <c r="A7" i="28"/>
  <c r="J6" i="28"/>
  <c r="I6" i="28"/>
  <c r="H6" i="28"/>
  <c r="G6" i="28"/>
  <c r="F6" i="28"/>
  <c r="D6" i="28"/>
  <c r="C6" i="28"/>
  <c r="A6" i="28"/>
  <c r="J5" i="28"/>
  <c r="I5" i="28"/>
  <c r="H5" i="28"/>
  <c r="G5" i="28"/>
  <c r="F5" i="28"/>
  <c r="D5" i="28"/>
  <c r="C5" i="28"/>
  <c r="A5" i="28"/>
  <c r="J4" i="28"/>
  <c r="I4" i="28"/>
  <c r="H4" i="28"/>
  <c r="G4" i="28"/>
  <c r="F4" i="28"/>
  <c r="D4" i="28"/>
  <c r="C4" i="28"/>
  <c r="A4" i="28"/>
  <c r="J3" i="28"/>
  <c r="I3" i="28"/>
  <c r="H3" i="28"/>
  <c r="G3" i="28"/>
  <c r="F3" i="28"/>
  <c r="D3" i="28"/>
  <c r="C3" i="28"/>
  <c r="A3" i="28"/>
  <c r="G2" i="28"/>
  <c r="F2" i="28"/>
  <c r="H2" i="28"/>
  <c r="D2" i="28"/>
  <c r="J2" i="28"/>
  <c r="I2" i="28"/>
  <c r="C2" i="28"/>
  <c r="A2" i="28"/>
  <c r="I28" i="26"/>
  <c r="H28" i="26"/>
  <c r="I27" i="26"/>
  <c r="H27" i="26"/>
  <c r="I26" i="26"/>
  <c r="H26" i="26"/>
  <c r="I25" i="26"/>
  <c r="H25" i="26"/>
  <c r="I24" i="26"/>
  <c r="H24" i="26"/>
  <c r="I23" i="26"/>
  <c r="H23" i="26"/>
  <c r="I22" i="26"/>
  <c r="H22" i="26"/>
  <c r="I21" i="26"/>
  <c r="H21" i="26"/>
  <c r="I20" i="26"/>
  <c r="H20" i="26"/>
  <c r="I19" i="26"/>
  <c r="H19" i="26"/>
  <c r="I18" i="26"/>
  <c r="H18" i="26"/>
  <c r="I17" i="26"/>
  <c r="H17" i="26"/>
  <c r="I16" i="26"/>
  <c r="H16" i="26"/>
  <c r="I15" i="26"/>
  <c r="H15" i="26"/>
  <c r="I14" i="26"/>
  <c r="H14" i="26"/>
  <c r="I13" i="26"/>
  <c r="H13" i="26"/>
  <c r="I12" i="26"/>
  <c r="H12" i="26"/>
  <c r="I11" i="26"/>
  <c r="H11" i="26"/>
  <c r="I10" i="26"/>
  <c r="H10" i="26"/>
  <c r="I9" i="26"/>
  <c r="H9" i="26"/>
  <c r="I8" i="26"/>
  <c r="H8" i="26"/>
  <c r="I7" i="26"/>
  <c r="H7" i="26"/>
  <c r="I6" i="26"/>
  <c r="H6" i="26"/>
  <c r="I5" i="26"/>
  <c r="H5" i="26"/>
  <c r="I4" i="26"/>
  <c r="H4" i="26"/>
  <c r="E2" i="26"/>
  <c r="I3" i="26"/>
  <c r="H3" i="26"/>
  <c r="H2" i="26"/>
  <c r="I2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3" i="26"/>
  <c r="G2" i="26"/>
  <c r="D2" i="21"/>
  <c r="F28" i="26"/>
  <c r="E28" i="26"/>
  <c r="D28" i="26"/>
  <c r="C28" i="26"/>
  <c r="B28" i="26"/>
  <c r="A28" i="26"/>
  <c r="F27" i="26"/>
  <c r="E27" i="26"/>
  <c r="D27" i="26"/>
  <c r="C27" i="26"/>
  <c r="B27" i="26"/>
  <c r="A27" i="26"/>
  <c r="F26" i="26"/>
  <c r="E26" i="26"/>
  <c r="D26" i="26"/>
  <c r="C26" i="26"/>
  <c r="B26" i="26"/>
  <c r="A26" i="26"/>
  <c r="F25" i="26"/>
  <c r="E25" i="26"/>
  <c r="D25" i="26"/>
  <c r="C25" i="26"/>
  <c r="B25" i="26"/>
  <c r="A25" i="26"/>
  <c r="F24" i="26"/>
  <c r="E24" i="26"/>
  <c r="D24" i="26"/>
  <c r="C24" i="26"/>
  <c r="B24" i="26"/>
  <c r="A24" i="26"/>
  <c r="F23" i="26"/>
  <c r="E23" i="26"/>
  <c r="D23" i="26"/>
  <c r="C23" i="26"/>
  <c r="B23" i="26"/>
  <c r="A23" i="26"/>
  <c r="F22" i="26"/>
  <c r="E22" i="26"/>
  <c r="D22" i="26"/>
  <c r="C22" i="26"/>
  <c r="B22" i="26"/>
  <c r="A22" i="26"/>
  <c r="F21" i="26"/>
  <c r="E21" i="26"/>
  <c r="D21" i="26"/>
  <c r="C21" i="26"/>
  <c r="B21" i="26"/>
  <c r="A21" i="26"/>
  <c r="F20" i="26"/>
  <c r="E20" i="26"/>
  <c r="D20" i="26"/>
  <c r="C20" i="26"/>
  <c r="B20" i="26"/>
  <c r="A20" i="26"/>
  <c r="F19" i="26"/>
  <c r="E19" i="26"/>
  <c r="D19" i="26"/>
  <c r="C19" i="26"/>
  <c r="B19" i="26"/>
  <c r="A19" i="26"/>
  <c r="F18" i="26"/>
  <c r="E18" i="26"/>
  <c r="D18" i="26"/>
  <c r="C18" i="26"/>
  <c r="B18" i="26"/>
  <c r="A18" i="26"/>
  <c r="F17" i="26"/>
  <c r="E17" i="26"/>
  <c r="D17" i="26"/>
  <c r="C17" i="26"/>
  <c r="B17" i="26"/>
  <c r="A17" i="26"/>
  <c r="F16" i="26"/>
  <c r="E16" i="26"/>
  <c r="D16" i="26"/>
  <c r="C16" i="26"/>
  <c r="B16" i="26"/>
  <c r="A16" i="26"/>
  <c r="F15" i="26"/>
  <c r="E15" i="26"/>
  <c r="D15" i="26"/>
  <c r="C15" i="26"/>
  <c r="B15" i="26"/>
  <c r="A15" i="26"/>
  <c r="F14" i="26"/>
  <c r="E14" i="26"/>
  <c r="D14" i="26"/>
  <c r="C14" i="26"/>
  <c r="B14" i="26"/>
  <c r="A14" i="26"/>
  <c r="F13" i="26"/>
  <c r="E13" i="26"/>
  <c r="D13" i="26"/>
  <c r="C13" i="26"/>
  <c r="B13" i="26"/>
  <c r="A13" i="26"/>
  <c r="F12" i="26"/>
  <c r="E12" i="26"/>
  <c r="D12" i="26"/>
  <c r="C12" i="26"/>
  <c r="B12" i="26"/>
  <c r="A12" i="26"/>
  <c r="F11" i="26"/>
  <c r="E11" i="26"/>
  <c r="D11" i="26"/>
  <c r="C11" i="26"/>
  <c r="B11" i="26"/>
  <c r="A11" i="26"/>
  <c r="F10" i="26"/>
  <c r="E10" i="26"/>
  <c r="D10" i="26"/>
  <c r="C10" i="26"/>
  <c r="B10" i="26"/>
  <c r="A10" i="26"/>
  <c r="F9" i="26"/>
  <c r="E9" i="26"/>
  <c r="D9" i="26"/>
  <c r="C9" i="26"/>
  <c r="B9" i="26"/>
  <c r="A9" i="26"/>
  <c r="F8" i="26"/>
  <c r="E8" i="26"/>
  <c r="D8" i="26"/>
  <c r="C8" i="26"/>
  <c r="B8" i="26"/>
  <c r="A8" i="26"/>
  <c r="F7" i="26"/>
  <c r="E7" i="26"/>
  <c r="D7" i="26"/>
  <c r="C7" i="26"/>
  <c r="B7" i="26"/>
  <c r="A7" i="26"/>
  <c r="F6" i="26"/>
  <c r="E6" i="26"/>
  <c r="D6" i="26"/>
  <c r="C6" i="26"/>
  <c r="B6" i="26"/>
  <c r="A6" i="26"/>
  <c r="F5" i="26"/>
  <c r="E5" i="26"/>
  <c r="D5" i="26"/>
  <c r="C5" i="26"/>
  <c r="B5" i="26"/>
  <c r="A5" i="26"/>
  <c r="F4" i="26"/>
  <c r="E4" i="26"/>
  <c r="D4" i="26"/>
  <c r="C4" i="26"/>
  <c r="B4" i="26"/>
  <c r="A4" i="26"/>
  <c r="D2" i="26"/>
  <c r="F3" i="26"/>
  <c r="E3" i="26"/>
  <c r="D3" i="26"/>
  <c r="C3" i="26"/>
  <c r="B3" i="26"/>
  <c r="A3" i="26"/>
  <c r="F2" i="26"/>
  <c r="C2" i="26"/>
  <c r="B2" i="26"/>
  <c r="A2" i="26"/>
  <c r="C2" i="21"/>
  <c r="B2" i="21"/>
  <c r="I28" i="24"/>
  <c r="G28" i="24"/>
  <c r="F28" i="24"/>
  <c r="E28" i="24"/>
  <c r="D28" i="24"/>
  <c r="C28" i="24"/>
  <c r="B28" i="24"/>
  <c r="A28" i="24"/>
  <c r="I27" i="24"/>
  <c r="G27" i="24"/>
  <c r="F27" i="24"/>
  <c r="E27" i="24"/>
  <c r="D27" i="24"/>
  <c r="C27" i="24"/>
  <c r="B27" i="24"/>
  <c r="A27" i="24"/>
  <c r="I26" i="24"/>
  <c r="G26" i="24"/>
  <c r="F26" i="24"/>
  <c r="E26" i="24"/>
  <c r="D26" i="24"/>
  <c r="C26" i="24"/>
  <c r="B26" i="24"/>
  <c r="A26" i="24"/>
  <c r="I25" i="24"/>
  <c r="G25" i="24"/>
  <c r="F25" i="24"/>
  <c r="E25" i="24"/>
  <c r="D25" i="24"/>
  <c r="C25" i="24"/>
  <c r="B25" i="24"/>
  <c r="A25" i="24"/>
  <c r="I24" i="24"/>
  <c r="G24" i="24"/>
  <c r="F24" i="24"/>
  <c r="E24" i="24"/>
  <c r="D24" i="24"/>
  <c r="C24" i="24"/>
  <c r="B24" i="24"/>
  <c r="A24" i="24"/>
  <c r="I23" i="24"/>
  <c r="G23" i="24"/>
  <c r="F23" i="24"/>
  <c r="E23" i="24"/>
  <c r="D23" i="24"/>
  <c r="C23" i="24"/>
  <c r="B23" i="24"/>
  <c r="A23" i="24"/>
  <c r="I22" i="24"/>
  <c r="G22" i="24"/>
  <c r="F22" i="24"/>
  <c r="E22" i="24"/>
  <c r="D22" i="24"/>
  <c r="C22" i="24"/>
  <c r="B22" i="24"/>
  <c r="A22" i="24"/>
  <c r="I21" i="24"/>
  <c r="G21" i="24"/>
  <c r="F21" i="24"/>
  <c r="E21" i="24"/>
  <c r="D21" i="24"/>
  <c r="C21" i="24"/>
  <c r="B21" i="24"/>
  <c r="A21" i="24"/>
  <c r="I20" i="24"/>
  <c r="G20" i="24"/>
  <c r="F20" i="24"/>
  <c r="E20" i="24"/>
  <c r="D20" i="24"/>
  <c r="C20" i="24"/>
  <c r="B20" i="24"/>
  <c r="A20" i="24"/>
  <c r="I19" i="24"/>
  <c r="G19" i="24"/>
  <c r="F19" i="24"/>
  <c r="E19" i="24"/>
  <c r="D19" i="24"/>
  <c r="C19" i="24"/>
  <c r="B19" i="24"/>
  <c r="A19" i="24"/>
  <c r="I18" i="24"/>
  <c r="G18" i="24"/>
  <c r="F18" i="24"/>
  <c r="E18" i="24"/>
  <c r="D18" i="24"/>
  <c r="C18" i="24"/>
  <c r="B18" i="24"/>
  <c r="A18" i="24"/>
  <c r="I17" i="24"/>
  <c r="G17" i="24"/>
  <c r="F17" i="24"/>
  <c r="E17" i="24"/>
  <c r="D17" i="24"/>
  <c r="C17" i="24"/>
  <c r="B17" i="24"/>
  <c r="A17" i="24"/>
  <c r="I16" i="24"/>
  <c r="G16" i="24"/>
  <c r="F16" i="24"/>
  <c r="E16" i="24"/>
  <c r="D16" i="24"/>
  <c r="C16" i="24"/>
  <c r="B16" i="24"/>
  <c r="A16" i="24"/>
  <c r="I15" i="24"/>
  <c r="G15" i="24"/>
  <c r="F15" i="24"/>
  <c r="E15" i="24"/>
  <c r="D15" i="24"/>
  <c r="C15" i="24"/>
  <c r="B15" i="24"/>
  <c r="A15" i="24"/>
  <c r="I14" i="24"/>
  <c r="G14" i="24"/>
  <c r="F14" i="24"/>
  <c r="E14" i="24"/>
  <c r="D14" i="24"/>
  <c r="C14" i="24"/>
  <c r="B14" i="24"/>
  <c r="A14" i="24"/>
  <c r="I13" i="24"/>
  <c r="G13" i="24"/>
  <c r="F13" i="24"/>
  <c r="E13" i="24"/>
  <c r="D13" i="24"/>
  <c r="C13" i="24"/>
  <c r="B13" i="24"/>
  <c r="A13" i="24"/>
  <c r="I12" i="24"/>
  <c r="G12" i="24"/>
  <c r="F12" i="24"/>
  <c r="E12" i="24"/>
  <c r="D12" i="24"/>
  <c r="C12" i="24"/>
  <c r="B12" i="24"/>
  <c r="A12" i="24"/>
  <c r="I11" i="24"/>
  <c r="G11" i="24"/>
  <c r="F11" i="24"/>
  <c r="E11" i="24"/>
  <c r="D11" i="24"/>
  <c r="C11" i="24"/>
  <c r="B11" i="24"/>
  <c r="A11" i="24"/>
  <c r="I10" i="24"/>
  <c r="G10" i="24"/>
  <c r="F10" i="24"/>
  <c r="E10" i="24"/>
  <c r="D10" i="24"/>
  <c r="C10" i="24"/>
  <c r="B10" i="24"/>
  <c r="A10" i="24"/>
  <c r="I9" i="24"/>
  <c r="G9" i="24"/>
  <c r="F9" i="24"/>
  <c r="E9" i="24"/>
  <c r="D9" i="24"/>
  <c r="C9" i="24"/>
  <c r="B9" i="24"/>
  <c r="A9" i="24"/>
  <c r="I8" i="24"/>
  <c r="G8" i="24"/>
  <c r="F8" i="24"/>
  <c r="E8" i="24"/>
  <c r="D8" i="24"/>
  <c r="C8" i="24"/>
  <c r="B8" i="24"/>
  <c r="A8" i="24"/>
  <c r="I7" i="24"/>
  <c r="G7" i="24"/>
  <c r="F7" i="24"/>
  <c r="E7" i="24"/>
  <c r="D7" i="24"/>
  <c r="C7" i="24"/>
  <c r="B7" i="24"/>
  <c r="A7" i="24"/>
  <c r="I6" i="24"/>
  <c r="G6" i="24"/>
  <c r="F6" i="24"/>
  <c r="E6" i="24"/>
  <c r="D6" i="24"/>
  <c r="C6" i="24"/>
  <c r="B6" i="24"/>
  <c r="A6" i="24"/>
  <c r="I5" i="24"/>
  <c r="G5" i="24"/>
  <c r="F5" i="24"/>
  <c r="E5" i="24"/>
  <c r="D5" i="24"/>
  <c r="C5" i="24"/>
  <c r="B5" i="24"/>
  <c r="A5" i="24"/>
  <c r="I4" i="24"/>
  <c r="G4" i="24"/>
  <c r="F4" i="24"/>
  <c r="E4" i="24"/>
  <c r="D4" i="24"/>
  <c r="C4" i="24"/>
  <c r="B4" i="24"/>
  <c r="A4" i="24"/>
  <c r="I3" i="24"/>
  <c r="G3" i="24"/>
  <c r="F3" i="24"/>
  <c r="E3" i="24"/>
  <c r="D3" i="24"/>
  <c r="C3" i="24"/>
  <c r="B3" i="24"/>
  <c r="A3" i="24"/>
  <c r="I2" i="24"/>
  <c r="G2" i="24"/>
  <c r="F2" i="24"/>
  <c r="E2" i="24"/>
  <c r="D2" i="24"/>
  <c r="C2" i="24"/>
  <c r="A2" i="24"/>
  <c r="B2" i="24"/>
  <c r="D27" i="23"/>
  <c r="C27" i="23"/>
  <c r="B27" i="23"/>
  <c r="A27" i="23"/>
  <c r="D26" i="23"/>
  <c r="C26" i="23"/>
  <c r="B26" i="23"/>
  <c r="A26" i="23"/>
  <c r="D25" i="23"/>
  <c r="C25" i="23"/>
  <c r="B25" i="23"/>
  <c r="A25" i="23"/>
  <c r="D24" i="23"/>
  <c r="C24" i="23"/>
  <c r="B24" i="23"/>
  <c r="A24" i="23"/>
  <c r="D23" i="23"/>
  <c r="C23" i="23"/>
  <c r="B23" i="23"/>
  <c r="A23" i="23"/>
  <c r="D22" i="23"/>
  <c r="C22" i="23"/>
  <c r="B22" i="23"/>
  <c r="A22" i="23"/>
  <c r="D21" i="23"/>
  <c r="C21" i="23"/>
  <c r="B21" i="23"/>
  <c r="A21" i="23"/>
  <c r="D20" i="23"/>
  <c r="C20" i="23"/>
  <c r="B20" i="23"/>
  <c r="A20" i="23"/>
  <c r="D19" i="23"/>
  <c r="C19" i="23"/>
  <c r="B19" i="23"/>
  <c r="A19" i="23"/>
  <c r="D18" i="23"/>
  <c r="C18" i="23"/>
  <c r="B18" i="23"/>
  <c r="A18" i="23"/>
  <c r="D17" i="23"/>
  <c r="C17" i="23"/>
  <c r="B17" i="23"/>
  <c r="A17" i="23"/>
  <c r="D16" i="23"/>
  <c r="C16" i="23"/>
  <c r="B16" i="23"/>
  <c r="A16" i="23"/>
  <c r="D15" i="23"/>
  <c r="C15" i="23"/>
  <c r="B15" i="23"/>
  <c r="A15" i="23"/>
  <c r="D14" i="23"/>
  <c r="C14" i="23"/>
  <c r="B14" i="23"/>
  <c r="A14" i="23"/>
  <c r="D13" i="23"/>
  <c r="C13" i="23"/>
  <c r="B13" i="23"/>
  <c r="A13" i="23"/>
  <c r="D12" i="23"/>
  <c r="C12" i="23"/>
  <c r="B12" i="23"/>
  <c r="A12" i="23"/>
  <c r="D11" i="23"/>
  <c r="C11" i="23"/>
  <c r="B11" i="23"/>
  <c r="A11" i="23"/>
  <c r="D10" i="23"/>
  <c r="C10" i="23"/>
  <c r="B10" i="23"/>
  <c r="A10" i="23"/>
  <c r="D9" i="23"/>
  <c r="C9" i="23"/>
  <c r="B9" i="23"/>
  <c r="A9" i="23"/>
  <c r="D8" i="23"/>
  <c r="C8" i="23"/>
  <c r="B8" i="23"/>
  <c r="A8" i="23"/>
  <c r="D7" i="23"/>
  <c r="C7" i="23"/>
  <c r="B7" i="23"/>
  <c r="A7" i="23"/>
  <c r="D6" i="23"/>
  <c r="C6" i="23"/>
  <c r="B6" i="23"/>
  <c r="A6" i="23"/>
  <c r="D5" i="23"/>
  <c r="C5" i="23"/>
  <c r="B5" i="23"/>
  <c r="A5" i="23"/>
  <c r="D4" i="23"/>
  <c r="C4" i="23"/>
  <c r="B4" i="23"/>
  <c r="A4" i="23"/>
  <c r="D3" i="23"/>
  <c r="C3" i="23"/>
  <c r="B3" i="23"/>
  <c r="A3" i="23"/>
  <c r="D2" i="23"/>
  <c r="C2" i="23"/>
  <c r="B2" i="23"/>
  <c r="A2" i="23"/>
  <c r="I28" i="19"/>
  <c r="H28" i="19"/>
  <c r="F28" i="19"/>
  <c r="D28" i="19"/>
  <c r="C28" i="19"/>
  <c r="B28" i="19"/>
  <c r="A28" i="19"/>
  <c r="I27" i="19"/>
  <c r="H27" i="19"/>
  <c r="F27" i="19"/>
  <c r="D27" i="19"/>
  <c r="C27" i="19"/>
  <c r="B27" i="19"/>
  <c r="A27" i="19"/>
  <c r="I26" i="19"/>
  <c r="H26" i="19"/>
  <c r="F26" i="19"/>
  <c r="D26" i="19"/>
  <c r="C26" i="19"/>
  <c r="B26" i="19"/>
  <c r="A26" i="19"/>
  <c r="I25" i="19"/>
  <c r="H25" i="19"/>
  <c r="F25" i="19"/>
  <c r="D25" i="19"/>
  <c r="C25" i="19"/>
  <c r="B25" i="19"/>
  <c r="A25" i="19"/>
  <c r="I24" i="19"/>
  <c r="H24" i="19"/>
  <c r="F24" i="19"/>
  <c r="D24" i="19"/>
  <c r="C24" i="19"/>
  <c r="B24" i="19"/>
  <c r="A24" i="19"/>
  <c r="I23" i="19"/>
  <c r="H23" i="19"/>
  <c r="F23" i="19"/>
  <c r="D23" i="19"/>
  <c r="C23" i="19"/>
  <c r="B23" i="19"/>
  <c r="A23" i="19"/>
  <c r="I22" i="19"/>
  <c r="H22" i="19"/>
  <c r="F22" i="19"/>
  <c r="D22" i="19"/>
  <c r="C22" i="19"/>
  <c r="B22" i="19"/>
  <c r="A22" i="19"/>
  <c r="I21" i="19"/>
  <c r="H21" i="19"/>
  <c r="F21" i="19"/>
  <c r="D21" i="19"/>
  <c r="C21" i="19"/>
  <c r="B21" i="19"/>
  <c r="A21" i="19"/>
  <c r="I20" i="19"/>
  <c r="H20" i="19"/>
  <c r="F20" i="19"/>
  <c r="D20" i="19"/>
  <c r="C20" i="19"/>
  <c r="B20" i="19"/>
  <c r="A20" i="19"/>
  <c r="I19" i="19"/>
  <c r="H19" i="19"/>
  <c r="F19" i="19"/>
  <c r="D19" i="19"/>
  <c r="C19" i="19"/>
  <c r="B19" i="19"/>
  <c r="A19" i="19"/>
  <c r="I18" i="19"/>
  <c r="H18" i="19"/>
  <c r="F18" i="19"/>
  <c r="D18" i="19"/>
  <c r="C18" i="19"/>
  <c r="B18" i="19"/>
  <c r="A18" i="19"/>
  <c r="I17" i="19"/>
  <c r="H17" i="19"/>
  <c r="F17" i="19"/>
  <c r="D17" i="19"/>
  <c r="C17" i="19"/>
  <c r="B17" i="19"/>
  <c r="A17" i="19"/>
  <c r="I16" i="19"/>
  <c r="H16" i="19"/>
  <c r="F16" i="19"/>
  <c r="D16" i="19"/>
  <c r="C16" i="19"/>
  <c r="B16" i="19"/>
  <c r="A16" i="19"/>
  <c r="I15" i="19"/>
  <c r="H15" i="19"/>
  <c r="F15" i="19"/>
  <c r="D15" i="19"/>
  <c r="C15" i="19"/>
  <c r="B15" i="19"/>
  <c r="A15" i="19"/>
  <c r="I14" i="19"/>
  <c r="H14" i="19"/>
  <c r="F14" i="19"/>
  <c r="D14" i="19"/>
  <c r="C14" i="19"/>
  <c r="B14" i="19"/>
  <c r="A14" i="19"/>
  <c r="I13" i="19"/>
  <c r="H13" i="19"/>
  <c r="F13" i="19"/>
  <c r="D13" i="19"/>
  <c r="C13" i="19"/>
  <c r="B13" i="19"/>
  <c r="A13" i="19"/>
  <c r="I12" i="19"/>
  <c r="H12" i="19"/>
  <c r="F12" i="19"/>
  <c r="D12" i="19"/>
  <c r="C12" i="19"/>
  <c r="B12" i="19"/>
  <c r="A12" i="19"/>
  <c r="I11" i="19"/>
  <c r="H11" i="19"/>
  <c r="F11" i="19"/>
  <c r="D11" i="19"/>
  <c r="C11" i="19"/>
  <c r="B11" i="19"/>
  <c r="A11" i="19"/>
  <c r="I10" i="19"/>
  <c r="H10" i="19"/>
  <c r="F10" i="19"/>
  <c r="D10" i="19"/>
  <c r="C10" i="19"/>
  <c r="B10" i="19"/>
  <c r="A10" i="19"/>
  <c r="I9" i="19"/>
  <c r="H9" i="19"/>
  <c r="F9" i="19"/>
  <c r="D9" i="19"/>
  <c r="C9" i="19"/>
  <c r="B9" i="19"/>
  <c r="A9" i="19"/>
  <c r="I8" i="19"/>
  <c r="H8" i="19"/>
  <c r="F8" i="19"/>
  <c r="D8" i="19"/>
  <c r="C8" i="19"/>
  <c r="B8" i="19"/>
  <c r="A8" i="19"/>
  <c r="I7" i="19"/>
  <c r="H7" i="19"/>
  <c r="F7" i="19"/>
  <c r="D7" i="19"/>
  <c r="C7" i="19"/>
  <c r="B7" i="19"/>
  <c r="A7" i="19"/>
  <c r="I6" i="19"/>
  <c r="H6" i="19"/>
  <c r="F6" i="19"/>
  <c r="D6" i="19"/>
  <c r="C6" i="19"/>
  <c r="B6" i="19"/>
  <c r="A6" i="19"/>
  <c r="I5" i="19"/>
  <c r="H5" i="19"/>
  <c r="F5" i="19"/>
  <c r="D5" i="19"/>
  <c r="C5" i="19"/>
  <c r="B5" i="19"/>
  <c r="A5" i="19"/>
  <c r="I4" i="19"/>
  <c r="H4" i="19"/>
  <c r="F4" i="19"/>
  <c r="D4" i="19"/>
  <c r="C4" i="19"/>
  <c r="B4" i="19"/>
  <c r="A4" i="19"/>
  <c r="I3" i="19"/>
  <c r="H3" i="19"/>
  <c r="F3" i="19"/>
  <c r="D3" i="19"/>
  <c r="C3" i="19"/>
  <c r="B3" i="19"/>
  <c r="A3" i="19"/>
  <c r="I2" i="19"/>
  <c r="H2" i="19"/>
  <c r="F2" i="19"/>
  <c r="D2" i="19"/>
  <c r="C2" i="19"/>
  <c r="B2" i="19"/>
  <c r="A2" i="19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M7" i="14"/>
  <c r="L7" i="14"/>
  <c r="M6" i="14"/>
  <c r="L6" i="14"/>
  <c r="M5" i="14"/>
  <c r="L5" i="14"/>
  <c r="M4" i="14"/>
  <c r="L4" i="14"/>
  <c r="M3" i="14"/>
  <c r="L3" i="14"/>
  <c r="M2" i="14"/>
  <c r="L2" i="14"/>
  <c r="H22" i="17"/>
  <c r="G22" i="17"/>
  <c r="F22" i="17"/>
  <c r="E22" i="17"/>
  <c r="C22" i="17"/>
  <c r="B22" i="17"/>
  <c r="A22" i="17"/>
  <c r="H21" i="17"/>
  <c r="G21" i="17"/>
  <c r="F21" i="17"/>
  <c r="E21" i="17"/>
  <c r="C21" i="17"/>
  <c r="B21" i="17"/>
  <c r="A21" i="17"/>
  <c r="H20" i="17"/>
  <c r="G20" i="17"/>
  <c r="F20" i="17"/>
  <c r="E20" i="17"/>
  <c r="C20" i="17"/>
  <c r="B20" i="17"/>
  <c r="A20" i="17"/>
  <c r="H19" i="17"/>
  <c r="G19" i="17"/>
  <c r="F19" i="17"/>
  <c r="E19" i="17"/>
  <c r="C19" i="17"/>
  <c r="B19" i="17"/>
  <c r="A19" i="17"/>
  <c r="H18" i="17"/>
  <c r="G18" i="17"/>
  <c r="F18" i="17"/>
  <c r="E18" i="17"/>
  <c r="C18" i="17"/>
  <c r="B18" i="17"/>
  <c r="A18" i="17"/>
  <c r="H17" i="17"/>
  <c r="G17" i="17"/>
  <c r="F17" i="17"/>
  <c r="E17" i="17"/>
  <c r="C17" i="17"/>
  <c r="B17" i="17"/>
  <c r="A17" i="17"/>
  <c r="H16" i="17"/>
  <c r="G16" i="17"/>
  <c r="F16" i="17"/>
  <c r="E16" i="17"/>
  <c r="C16" i="17"/>
  <c r="B16" i="17"/>
  <c r="A16" i="17"/>
  <c r="H15" i="17"/>
  <c r="G15" i="17"/>
  <c r="F15" i="17"/>
  <c r="E15" i="17"/>
  <c r="C15" i="17"/>
  <c r="B15" i="17"/>
  <c r="A15" i="17"/>
  <c r="H14" i="17"/>
  <c r="G14" i="17"/>
  <c r="F14" i="17"/>
  <c r="E14" i="17"/>
  <c r="C14" i="17"/>
  <c r="B14" i="17"/>
  <c r="A14" i="17"/>
  <c r="H13" i="17"/>
  <c r="G13" i="17"/>
  <c r="F13" i="17"/>
  <c r="E13" i="17"/>
  <c r="C13" i="17"/>
  <c r="B13" i="17"/>
  <c r="A13" i="17"/>
  <c r="H12" i="17"/>
  <c r="G12" i="17"/>
  <c r="F12" i="17"/>
  <c r="E12" i="17"/>
  <c r="C12" i="17"/>
  <c r="B12" i="17"/>
  <c r="A12" i="17"/>
  <c r="H11" i="17"/>
  <c r="G11" i="17"/>
  <c r="F11" i="17"/>
  <c r="E11" i="17"/>
  <c r="C11" i="17"/>
  <c r="B11" i="17"/>
  <c r="A11" i="17"/>
  <c r="H10" i="17"/>
  <c r="G10" i="17"/>
  <c r="F10" i="17"/>
  <c r="E10" i="17"/>
  <c r="C10" i="17"/>
  <c r="B10" i="17"/>
  <c r="A10" i="17"/>
  <c r="H9" i="17"/>
  <c r="G9" i="17"/>
  <c r="F9" i="17"/>
  <c r="E9" i="17"/>
  <c r="C9" i="17"/>
  <c r="B9" i="17"/>
  <c r="A9" i="17"/>
  <c r="H8" i="17"/>
  <c r="G8" i="17"/>
  <c r="F8" i="17"/>
  <c r="E8" i="17"/>
  <c r="C8" i="17"/>
  <c r="B8" i="17"/>
  <c r="A8" i="17"/>
  <c r="H7" i="17"/>
  <c r="G7" i="17"/>
  <c r="F7" i="17"/>
  <c r="E7" i="17"/>
  <c r="C7" i="17"/>
  <c r="B7" i="17"/>
  <c r="A7" i="17"/>
  <c r="H6" i="17"/>
  <c r="G6" i="17"/>
  <c r="F6" i="17"/>
  <c r="E6" i="17"/>
  <c r="C6" i="17"/>
  <c r="B6" i="17"/>
  <c r="A6" i="17"/>
  <c r="H5" i="17"/>
  <c r="G5" i="17"/>
  <c r="F5" i="17"/>
  <c r="E5" i="17"/>
  <c r="C5" i="17"/>
  <c r="B5" i="17"/>
  <c r="A5" i="17"/>
  <c r="H4" i="17"/>
  <c r="G4" i="17"/>
  <c r="F4" i="17"/>
  <c r="E4" i="17"/>
  <c r="C4" i="17"/>
  <c r="B4" i="17"/>
  <c r="A4" i="17"/>
  <c r="H3" i="17"/>
  <c r="G3" i="17"/>
  <c r="F3" i="17"/>
  <c r="E3" i="17"/>
  <c r="C3" i="17"/>
  <c r="B3" i="17"/>
  <c r="A3" i="17"/>
  <c r="H2" i="17"/>
  <c r="G2" i="17"/>
  <c r="F2" i="17"/>
  <c r="E2" i="17"/>
  <c r="C2" i="17"/>
  <c r="B2" i="17"/>
  <c r="A2" i="17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E24" i="16"/>
  <c r="D24" i="16"/>
  <c r="C24" i="16"/>
  <c r="B24" i="16"/>
  <c r="A24" i="16"/>
  <c r="E23" i="16"/>
  <c r="D23" i="16"/>
  <c r="C23" i="16"/>
  <c r="B23" i="16"/>
  <c r="A23" i="16"/>
  <c r="E22" i="16"/>
  <c r="D22" i="16"/>
  <c r="C22" i="16"/>
  <c r="B22" i="16"/>
  <c r="A22" i="16"/>
  <c r="E21" i="16"/>
  <c r="D21" i="16"/>
  <c r="C21" i="16"/>
  <c r="B21" i="16"/>
  <c r="A21" i="16"/>
  <c r="E20" i="16"/>
  <c r="D20" i="16"/>
  <c r="C20" i="16"/>
  <c r="B20" i="16"/>
  <c r="A20" i="16"/>
  <c r="E19" i="16"/>
  <c r="D19" i="16"/>
  <c r="C19" i="16"/>
  <c r="B19" i="16"/>
  <c r="A19" i="16"/>
  <c r="E18" i="16"/>
  <c r="D18" i="16"/>
  <c r="C18" i="16"/>
  <c r="B18" i="16"/>
  <c r="A18" i="16"/>
  <c r="E17" i="16"/>
  <c r="D17" i="16"/>
  <c r="C17" i="16"/>
  <c r="B17" i="16"/>
  <c r="A17" i="16"/>
  <c r="E16" i="16"/>
  <c r="D16" i="16"/>
  <c r="C16" i="16"/>
  <c r="B16" i="16"/>
  <c r="A16" i="16"/>
  <c r="E15" i="16"/>
  <c r="D15" i="16"/>
  <c r="C15" i="16"/>
  <c r="B15" i="16"/>
  <c r="A15" i="16"/>
  <c r="E14" i="16"/>
  <c r="D14" i="16"/>
  <c r="C14" i="16"/>
  <c r="B14" i="16"/>
  <c r="A14" i="16"/>
  <c r="E13" i="16"/>
  <c r="D13" i="16"/>
  <c r="C13" i="16"/>
  <c r="B13" i="16"/>
  <c r="A13" i="16"/>
  <c r="E12" i="16"/>
  <c r="D12" i="16"/>
  <c r="C12" i="16"/>
  <c r="B12" i="16"/>
  <c r="A12" i="16"/>
  <c r="E11" i="16"/>
  <c r="D11" i="16"/>
  <c r="C11" i="16"/>
  <c r="B11" i="16"/>
  <c r="A11" i="16"/>
  <c r="E10" i="16"/>
  <c r="D10" i="16"/>
  <c r="C10" i="16"/>
  <c r="B10" i="16"/>
  <c r="A10" i="16"/>
  <c r="E9" i="16"/>
  <c r="D9" i="16"/>
  <c r="C9" i="16"/>
  <c r="B9" i="16"/>
  <c r="A9" i="16"/>
  <c r="E8" i="16"/>
  <c r="D8" i="16"/>
  <c r="C8" i="16"/>
  <c r="B8" i="16"/>
  <c r="A8" i="16"/>
  <c r="E7" i="16"/>
  <c r="D7" i="16"/>
  <c r="C7" i="16"/>
  <c r="B7" i="16"/>
  <c r="A7" i="16"/>
  <c r="E6" i="16"/>
  <c r="D6" i="16"/>
  <c r="C6" i="16"/>
  <c r="B6" i="16"/>
  <c r="A6" i="16"/>
  <c r="E5" i="16"/>
  <c r="D5" i="16"/>
  <c r="C5" i="16"/>
  <c r="B5" i="16"/>
  <c r="A5" i="16"/>
  <c r="E4" i="16"/>
  <c r="D4" i="16"/>
  <c r="C4" i="16"/>
  <c r="B4" i="16"/>
  <c r="A4" i="16"/>
  <c r="E3" i="16"/>
  <c r="D3" i="16"/>
  <c r="C3" i="16"/>
  <c r="B3" i="16"/>
  <c r="A3" i="16"/>
  <c r="B2" i="16"/>
  <c r="E2" i="16"/>
  <c r="D2" i="16"/>
  <c r="C2" i="16"/>
  <c r="A2" i="16"/>
  <c r="C8" i="15"/>
  <c r="C7" i="15"/>
  <c r="C6" i="15"/>
  <c r="C5" i="15"/>
  <c r="C4" i="15"/>
  <c r="C3" i="15"/>
  <c r="E16" i="14"/>
  <c r="D16" i="14"/>
  <c r="E15" i="14"/>
  <c r="D15" i="14"/>
  <c r="E14" i="14"/>
  <c r="D14" i="14"/>
  <c r="E13" i="14"/>
  <c r="D13" i="14"/>
  <c r="E12" i="14"/>
  <c r="D12" i="14"/>
  <c r="E11" i="14"/>
  <c r="D11" i="14"/>
  <c r="E10" i="14"/>
  <c r="D10" i="14"/>
  <c r="E9" i="14"/>
  <c r="D9" i="14"/>
  <c r="E8" i="14"/>
  <c r="D8" i="14"/>
  <c r="E7" i="14"/>
  <c r="D7" i="14"/>
  <c r="E6" i="14"/>
  <c r="D6" i="14"/>
  <c r="E5" i="14"/>
  <c r="D5" i="14"/>
  <c r="E4" i="14"/>
  <c r="D4" i="14"/>
  <c r="E3" i="14"/>
  <c r="D3" i="14"/>
  <c r="E2" i="14"/>
  <c r="D2" i="14"/>
  <c r="K16" i="14"/>
  <c r="J16" i="14"/>
  <c r="I16" i="14"/>
  <c r="H16" i="14"/>
  <c r="G16" i="14"/>
  <c r="F16" i="14"/>
  <c r="C16" i="14"/>
  <c r="B16" i="14"/>
  <c r="A16" i="14"/>
  <c r="K15" i="14"/>
  <c r="J15" i="14"/>
  <c r="I15" i="14"/>
  <c r="H15" i="14"/>
  <c r="G15" i="14"/>
  <c r="F15" i="14"/>
  <c r="C15" i="14"/>
  <c r="B15" i="14"/>
  <c r="A15" i="14"/>
  <c r="K14" i="14"/>
  <c r="J14" i="14"/>
  <c r="I14" i="14"/>
  <c r="H14" i="14"/>
  <c r="G14" i="14"/>
  <c r="F14" i="14"/>
  <c r="C14" i="14"/>
  <c r="B14" i="14"/>
  <c r="A14" i="14"/>
  <c r="K13" i="14"/>
  <c r="J13" i="14"/>
  <c r="I13" i="14"/>
  <c r="H13" i="14"/>
  <c r="G13" i="14"/>
  <c r="F13" i="14"/>
  <c r="C13" i="14"/>
  <c r="B13" i="14"/>
  <c r="A13" i="14"/>
  <c r="K12" i="14"/>
  <c r="J12" i="14"/>
  <c r="I12" i="14"/>
  <c r="H12" i="14"/>
  <c r="G12" i="14"/>
  <c r="F12" i="14"/>
  <c r="C12" i="14"/>
  <c r="B12" i="14"/>
  <c r="A12" i="14"/>
  <c r="K11" i="14"/>
  <c r="J11" i="14"/>
  <c r="I11" i="14"/>
  <c r="H11" i="14"/>
  <c r="G11" i="14"/>
  <c r="F11" i="14"/>
  <c r="C11" i="14"/>
  <c r="B11" i="14"/>
  <c r="A11" i="14"/>
  <c r="K10" i="14"/>
  <c r="J10" i="14"/>
  <c r="I10" i="14"/>
  <c r="H10" i="14"/>
  <c r="G10" i="14"/>
  <c r="F10" i="14"/>
  <c r="C10" i="14"/>
  <c r="B10" i="14"/>
  <c r="A10" i="14"/>
  <c r="K9" i="14"/>
  <c r="J9" i="14"/>
  <c r="I9" i="14"/>
  <c r="H9" i="14"/>
  <c r="G9" i="14"/>
  <c r="F9" i="14"/>
  <c r="C9" i="14"/>
  <c r="B9" i="14"/>
  <c r="A9" i="14"/>
  <c r="K8" i="14"/>
  <c r="J8" i="14"/>
  <c r="I8" i="14"/>
  <c r="H8" i="14"/>
  <c r="G8" i="14"/>
  <c r="F8" i="14"/>
  <c r="C8" i="14"/>
  <c r="B8" i="14"/>
  <c r="A8" i="14"/>
  <c r="K7" i="14"/>
  <c r="J7" i="14"/>
  <c r="I7" i="14"/>
  <c r="H7" i="14"/>
  <c r="G7" i="14"/>
  <c r="F7" i="14"/>
  <c r="C7" i="14"/>
  <c r="B7" i="14"/>
  <c r="A7" i="14"/>
  <c r="K6" i="14"/>
  <c r="J6" i="14"/>
  <c r="I6" i="14"/>
  <c r="H6" i="14"/>
  <c r="G6" i="14"/>
  <c r="F6" i="14"/>
  <c r="C6" i="14"/>
  <c r="B6" i="14"/>
  <c r="A6" i="14"/>
  <c r="K5" i="14"/>
  <c r="J5" i="14"/>
  <c r="I5" i="14"/>
  <c r="H5" i="14"/>
  <c r="G5" i="14"/>
  <c r="F5" i="14"/>
  <c r="C5" i="14"/>
  <c r="B5" i="14"/>
  <c r="A5" i="14"/>
  <c r="K4" i="14"/>
  <c r="J4" i="14"/>
  <c r="I4" i="14"/>
  <c r="H4" i="14"/>
  <c r="G4" i="14"/>
  <c r="F4" i="14"/>
  <c r="C4" i="14"/>
  <c r="B4" i="14"/>
  <c r="A4" i="14"/>
  <c r="K3" i="14"/>
  <c r="J3" i="14"/>
  <c r="I3" i="14"/>
  <c r="H3" i="14"/>
  <c r="G3" i="14"/>
  <c r="F3" i="14"/>
  <c r="C3" i="14"/>
  <c r="B3" i="14"/>
  <c r="A3" i="14"/>
  <c r="K2" i="14"/>
  <c r="J2" i="14"/>
  <c r="I2" i="14"/>
  <c r="H2" i="14"/>
  <c r="G2" i="14"/>
  <c r="F2" i="14"/>
  <c r="B2" i="14"/>
  <c r="C2" i="14"/>
  <c r="A2" i="14"/>
</calcChain>
</file>

<file path=xl/sharedStrings.xml><?xml version="1.0" encoding="utf-8"?>
<sst xmlns="http://schemas.openxmlformats.org/spreadsheetml/2006/main" count="502" uniqueCount="165">
  <si>
    <t>File</t>
  </si>
  <si>
    <t>_id</t>
  </si>
  <si>
    <t>name</t>
  </si>
  <si>
    <t>email</t>
  </si>
  <si>
    <t>country</t>
  </si>
  <si>
    <t>address</t>
  </si>
  <si>
    <t>city</t>
  </si>
  <si>
    <t>province</t>
  </si>
  <si>
    <t>postal</t>
  </si>
  <si>
    <t>viaEmailtrue</t>
  </si>
  <si>
    <t>viaMailtrue</t>
  </si>
  <si>
    <t>knob</t>
  </si>
  <si>
    <t>systemRole</t>
  </si>
  <si>
    <t>projectRole</t>
  </si>
  <si>
    <t>proponent</t>
  </si>
  <si>
    <t>Cary Sechrist</t>
  </si>
  <si>
    <t>Randy Conrad</t>
  </si>
  <si>
    <t>Lili Norrell</t>
  </si>
  <si>
    <t>William Butler</t>
  </si>
  <si>
    <t>Cecilia Brown</t>
  </si>
  <si>
    <t>Rachel Winston</t>
  </si>
  <si>
    <t>Suzanne Boyd</t>
  </si>
  <si>
    <t>Christopher Lemon</t>
  </si>
  <si>
    <t>Lidia Otis</t>
  </si>
  <si>
    <t>Linda Peterson</t>
  </si>
  <si>
    <t>CaryXSechrist@jourrapide.com</t>
  </si>
  <si>
    <t>RandyIConrad@dayrep.com</t>
  </si>
  <si>
    <t>LiliLNorrell@fleckens.hu</t>
  </si>
  <si>
    <t>WilliamSButler@einrot.com</t>
  </si>
  <si>
    <t>CeciliaFBrown@gustr.com</t>
  </si>
  <si>
    <t>RachelJWinston@superrito.com</t>
  </si>
  <si>
    <t>SuzanneFBoyd@jourrapide.com</t>
  </si>
  <si>
    <t>ChristopherCLemon@gustr.com</t>
  </si>
  <si>
    <t>LidiaSOtis@einrot.com</t>
  </si>
  <si>
    <t>LindaRPeterson@dayrep.com</t>
  </si>
  <si>
    <t>Canada</t>
  </si>
  <si>
    <t>2262 Burdett Avenue</t>
  </si>
  <si>
    <t>223 Brew Creek Rd</t>
  </si>
  <si>
    <t>2310 Mesa Vista Drive</t>
  </si>
  <si>
    <t>3795 Burdett Avenue</t>
  </si>
  <si>
    <t>3746 Noble Rd</t>
  </si>
  <si>
    <t>3617 Essendene Avenue</t>
  </si>
  <si>
    <t>2426 Cordova Street</t>
  </si>
  <si>
    <t>1019 Hardy Street</t>
  </si>
  <si>
    <t>1004 Robson St</t>
  </si>
  <si>
    <t>3561 Wellington Ave</t>
  </si>
  <si>
    <t>Victoria</t>
  </si>
  <si>
    <t>Whistler</t>
  </si>
  <si>
    <t>Boston Bar</t>
  </si>
  <si>
    <t>Cortes Island</t>
  </si>
  <si>
    <t>Abbotsford</t>
  </si>
  <si>
    <t>Vancouver</t>
  </si>
  <si>
    <t>Kelowna</t>
  </si>
  <si>
    <t>Chilliwack</t>
  </si>
  <si>
    <t>BC</t>
  </si>
  <si>
    <t>V8Z 2J8</t>
  </si>
  <si>
    <t>V0N 1B0</t>
  </si>
  <si>
    <t>V0K 1C0</t>
  </si>
  <si>
    <t>V8Y 1Y7</t>
  </si>
  <si>
    <t>V0P 1T0</t>
  </si>
  <si>
    <t>V2S 2H7</t>
  </si>
  <si>
    <t>V6B 1E1</t>
  </si>
  <si>
    <t>V1Y 8H2</t>
  </si>
  <si>
    <t>V6B 3K9</t>
  </si>
  <si>
    <t>V2P 2M1</t>
  </si>
  <si>
    <t>Yes</t>
  </si>
  <si>
    <t>No</t>
  </si>
  <si>
    <t>eao</t>
  </si>
  <si>
    <t>wg</t>
  </si>
  <si>
    <t>public</t>
  </si>
  <si>
    <t>synopsys</t>
  </si>
  <si>
    <t>type</t>
  </si>
  <si>
    <t>buckets</t>
  </si>
  <si>
    <t>Project Description</t>
  </si>
  <si>
    <t>The official Project Description for the Knob Hill Wind Project</t>
  </si>
  <si>
    <t>document</t>
  </si>
  <si>
    <t>Location Outline</t>
  </si>
  <si>
    <t>Section 10.1c</t>
  </si>
  <si>
    <t>Section 11</t>
  </si>
  <si>
    <t>shapefile</t>
  </si>
  <si>
    <t>Draft A.I.R.</t>
  </si>
  <si>
    <t>A.I.R.</t>
  </si>
  <si>
    <t>Application</t>
  </si>
  <si>
    <t>code</t>
  </si>
  <si>
    <t>status</t>
  </si>
  <si>
    <t>isValueComponment</t>
  </si>
  <si>
    <t>progress</t>
  </si>
  <si>
    <t>requirements</t>
  </si>
  <si>
    <t>data</t>
  </si>
  <si>
    <t>Bats</t>
  </si>
  <si>
    <t>open</t>
  </si>
  <si>
    <t>Yellow-billed Scissortail</t>
  </si>
  <si>
    <t>Section 10.1C</t>
  </si>
  <si>
    <t>Draft AIR</t>
  </si>
  <si>
    <t>AIR</t>
  </si>
  <si>
    <t>complete</t>
  </si>
  <si>
    <t>Squamish FN Interests</t>
  </si>
  <si>
    <t>Bridge over Si-Phalets River</t>
  </si>
  <si>
    <t>bucket</t>
  </si>
  <si>
    <t>dateComplete</t>
  </si>
  <si>
    <t>deliverable</t>
  </si>
  <si>
    <t>completingTask</t>
  </si>
  <si>
    <t>completedBy</t>
  </si>
  <si>
    <t>document approval</t>
  </si>
  <si>
    <t>projectdescription</t>
  </si>
  <si>
    <t>apprdesc</t>
  </si>
  <si>
    <t>audit</t>
  </si>
  <si>
    <t>publicComments</t>
  </si>
  <si>
    <t>notifications</t>
  </si>
  <si>
    <t>issues</t>
  </si>
  <si>
    <t>approvals</t>
  </si>
  <si>
    <t>conditions</t>
  </si>
  <si>
    <t>rg:[]</t>
  </si>
  <si>
    <t>taskId</t>
  </si>
  <si>
    <t>value</t>
  </si>
  <si>
    <t>dateValue</t>
  </si>
  <si>
    <t>user</t>
  </si>
  <si>
    <t>Document Approved</t>
  </si>
  <si>
    <t>author</t>
  </si>
  <si>
    <t>instance</t>
  </si>
  <si>
    <t>comment</t>
  </si>
  <si>
    <t>dateCreated</t>
  </si>
  <si>
    <t>dataVetted</t>
  </si>
  <si>
    <t>isSpam</t>
  </si>
  <si>
    <t>vettedBy</t>
  </si>
  <si>
    <t>knobcomment</t>
  </si>
  <si>
    <t>This project will drastically impact the Bat Population in this region.</t>
  </si>
  <si>
    <t>dateSent</t>
  </si>
  <si>
    <t>dateQueued</t>
  </si>
  <si>
    <t>mailContent</t>
  </si>
  <si>
    <t>milestone</t>
  </si>
  <si>
    <t>documents</t>
  </si>
  <si>
    <t>recipientsDigital</t>
  </si>
  <si>
    <t>recipientsPhysical</t>
  </si>
  <si>
    <t>projectdescriptioncomplete</t>
  </si>
  <si>
    <t>sent</t>
  </si>
  <si>
    <t>The Knob Hill Wind Farm Project Description has been Officially Approved</t>
  </si>
  <si>
    <t>description</t>
  </si>
  <si>
    <t>identifiedBy</t>
  </si>
  <si>
    <t>response</t>
  </si>
  <si>
    <t>revision</t>
  </si>
  <si>
    <t>Bridge over Swansea River</t>
  </si>
  <si>
    <t>knobcomments</t>
  </si>
  <si>
    <t>responses</t>
  </si>
  <si>
    <t>dateAssigned</t>
  </si>
  <si>
    <t>dateReplied</t>
  </si>
  <si>
    <t>deliverables</t>
  </si>
  <si>
    <t>assigned</t>
  </si>
  <si>
    <t>responseID</t>
  </si>
  <si>
    <t>ResponseID</t>
  </si>
  <si>
    <t>knob-iss0002</t>
  </si>
  <si>
    <t>ID</t>
  </si>
  <si>
    <t>Comment from a Working Group member</t>
  </si>
  <si>
    <t>The Squamish FN would like input on this issue</t>
  </si>
  <si>
    <t>dateApproved</t>
  </si>
  <si>
    <t>approvedBy</t>
  </si>
  <si>
    <t>Approved.</t>
  </si>
  <si>
    <t>dateCondition</t>
  </si>
  <si>
    <t>condition</t>
  </si>
  <si>
    <t>inspections</t>
  </si>
  <si>
    <t>createdBy</t>
  </si>
  <si>
    <t>approved</t>
  </si>
  <si>
    <t>Inspections</t>
  </si>
  <si>
    <t>2015Salmon</t>
  </si>
  <si>
    <t>Annual Salmon studies must be conducted each year to verify sustainability across each 5 year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</si>
</sst>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5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tabSelected="1" topLeftCell="B1" workbookViewId="0">
      <pane ySplit="1" topLeftCell="A2" activePane="bottomLeft" state="frozen"/>
      <selection pane="bottomLeft"/>
    </sheetView>
  </sheetViews>
  <sheetFormatPr defaultColWidth="10.6640625" defaultRowHeight="15.5" x14ac:dyDescent="0.35"/>
  <cols>
    <col min="1" max="1" width="4.9140625" bestFit="1" customWidth="1"/>
    <col min="2" max="2" width="16.5" style="1" bestFit="1" customWidth="1"/>
    <col min="3" max="3" width="10.08203125" bestFit="1" customWidth="1"/>
    <col min="4" max="4" width="10.25" bestFit="1" customWidth="1"/>
    <col min="5" max="5" width="27.5" bestFit="1" customWidth="1"/>
    <col min="6" max="6" width="7.08203125" style="2" bestFit="1" customWidth="1"/>
    <col min="7" max="7" width="20.75" style="4" bestFit="1" customWidth="1"/>
    <col min="8" max="8" width="11.33203125" style="2" bestFit="1" customWidth="1"/>
    <col min="9" max="9" width="7.9140625" style="3" bestFit="1" customWidth="1"/>
    <col min="10" max="10" width="8.08203125" bestFit="1" customWidth="1"/>
    <col min="11" max="11" width="11.1640625" bestFit="1" customWidth="1"/>
    <col min="12" max="12" width="10.33203125" bestFit="1" customWidth="1"/>
  </cols>
  <sheetData>
    <row r="1" spans="1:12" x14ac:dyDescent="0.35">
      <c r="A1" t="s">
        <v>0</v>
      </c>
      <c r="B1" t="s">
        <v>2</v>
      </c>
      <c r="C1" t="s">
        <v>12</v>
      </c>
      <c r="D1" t="s">
        <v>13</v>
      </c>
      <c r="E1" t="s">
        <v>3</v>
      </c>
      <c r="F1" t="s">
        <v>4</v>
      </c>
      <c r="G1" s="4" t="s">
        <v>5</v>
      </c>
      <c r="H1" t="s">
        <v>6</v>
      </c>
      <c r="I1" s="3" t="s">
        <v>7</v>
      </c>
      <c r="J1" t="s">
        <v>8</v>
      </c>
      <c r="K1" t="s">
        <v>9</v>
      </c>
      <c r="L1" t="s">
        <v>10</v>
      </c>
    </row>
    <row r="2" spans="1:12" x14ac:dyDescent="0.35">
      <c r="A2" t="s">
        <v>11</v>
      </c>
      <c r="B2" t="s">
        <v>15</v>
      </c>
      <c r="C2" t="s">
        <v>14</v>
      </c>
      <c r="D2" t="s">
        <v>14</v>
      </c>
      <c r="E2" t="s">
        <v>25</v>
      </c>
      <c r="F2" t="s">
        <v>35</v>
      </c>
      <c r="G2" s="4" t="s">
        <v>36</v>
      </c>
      <c r="H2" t="s">
        <v>46</v>
      </c>
      <c r="I2" t="s">
        <v>54</v>
      </c>
      <c r="J2" t="s">
        <v>55</v>
      </c>
      <c r="K2" t="s">
        <v>65</v>
      </c>
      <c r="L2" t="s">
        <v>66</v>
      </c>
    </row>
    <row r="3" spans="1:12" x14ac:dyDescent="0.35">
      <c r="A3" t="s">
        <v>11</v>
      </c>
      <c r="B3" t="s">
        <v>16</v>
      </c>
      <c r="C3" s="1" t="s">
        <v>14</v>
      </c>
      <c r="D3" s="1" t="s">
        <v>14</v>
      </c>
      <c r="E3" t="s">
        <v>26</v>
      </c>
      <c r="F3" t="s">
        <v>35</v>
      </c>
      <c r="G3" s="4" t="s">
        <v>37</v>
      </c>
      <c r="H3" t="s">
        <v>47</v>
      </c>
      <c r="I3" t="s">
        <v>54</v>
      </c>
      <c r="J3" t="s">
        <v>56</v>
      </c>
      <c r="K3" t="s">
        <v>65</v>
      </c>
      <c r="L3" t="s">
        <v>66</v>
      </c>
    </row>
    <row r="4" spans="1:12" x14ac:dyDescent="0.35">
      <c r="A4" t="s">
        <v>11</v>
      </c>
      <c r="B4" t="s">
        <v>17</v>
      </c>
      <c r="C4" s="1" t="s">
        <v>67</v>
      </c>
      <c r="D4" s="1" t="s">
        <v>67</v>
      </c>
      <c r="E4" t="s">
        <v>27</v>
      </c>
      <c r="F4" t="s">
        <v>35</v>
      </c>
      <c r="G4" s="4" t="s">
        <v>38</v>
      </c>
      <c r="H4" t="s">
        <v>48</v>
      </c>
      <c r="I4" t="s">
        <v>54</v>
      </c>
      <c r="J4" t="s">
        <v>57</v>
      </c>
      <c r="K4" t="s">
        <v>65</v>
      </c>
      <c r="L4" t="s">
        <v>66</v>
      </c>
    </row>
    <row r="5" spans="1:12" x14ac:dyDescent="0.35">
      <c r="A5" t="s">
        <v>11</v>
      </c>
      <c r="B5" t="s">
        <v>18</v>
      </c>
      <c r="C5" t="s">
        <v>67</v>
      </c>
      <c r="D5" s="1" t="s">
        <v>67</v>
      </c>
      <c r="E5" t="s">
        <v>28</v>
      </c>
      <c r="F5" t="s">
        <v>35</v>
      </c>
      <c r="G5" s="4" t="s">
        <v>39</v>
      </c>
      <c r="H5" t="s">
        <v>46</v>
      </c>
      <c r="I5" t="s">
        <v>54</v>
      </c>
      <c r="J5" t="s">
        <v>58</v>
      </c>
      <c r="K5" t="s">
        <v>65</v>
      </c>
      <c r="L5" t="s">
        <v>66</v>
      </c>
    </row>
    <row r="6" spans="1:12" x14ac:dyDescent="0.35">
      <c r="A6" t="s">
        <v>11</v>
      </c>
      <c r="B6" t="s">
        <v>19</v>
      </c>
      <c r="C6" t="s">
        <v>67</v>
      </c>
      <c r="D6" s="1" t="s">
        <v>67</v>
      </c>
      <c r="E6" t="s">
        <v>29</v>
      </c>
      <c r="F6" t="s">
        <v>35</v>
      </c>
      <c r="G6" s="4" t="s">
        <v>40</v>
      </c>
      <c r="H6" t="s">
        <v>49</v>
      </c>
      <c r="I6" t="s">
        <v>54</v>
      </c>
      <c r="J6" t="s">
        <v>59</v>
      </c>
      <c r="K6" t="s">
        <v>66</v>
      </c>
      <c r="L6" t="s">
        <v>65</v>
      </c>
    </row>
    <row r="7" spans="1:12" x14ac:dyDescent="0.35">
      <c r="A7" t="s">
        <v>11</v>
      </c>
      <c r="B7" t="s">
        <v>20</v>
      </c>
      <c r="C7" t="s">
        <v>67</v>
      </c>
      <c r="D7" s="1" t="s">
        <v>67</v>
      </c>
      <c r="E7" t="s">
        <v>30</v>
      </c>
      <c r="F7" t="s">
        <v>35</v>
      </c>
      <c r="G7" s="4" t="s">
        <v>41</v>
      </c>
      <c r="H7" t="s">
        <v>50</v>
      </c>
      <c r="I7" t="s">
        <v>54</v>
      </c>
      <c r="J7" t="s">
        <v>60</v>
      </c>
      <c r="K7" t="s">
        <v>65</v>
      </c>
      <c r="L7" t="s">
        <v>66</v>
      </c>
    </row>
    <row r="8" spans="1:12" x14ac:dyDescent="0.35">
      <c r="A8" t="s">
        <v>11</v>
      </c>
      <c r="B8" t="s">
        <v>21</v>
      </c>
      <c r="C8" t="s">
        <v>68</v>
      </c>
      <c r="D8" s="1" t="s">
        <v>68</v>
      </c>
      <c r="E8" t="s">
        <v>31</v>
      </c>
      <c r="F8" t="s">
        <v>35</v>
      </c>
      <c r="G8" s="4" t="s">
        <v>42</v>
      </c>
      <c r="H8" t="s">
        <v>51</v>
      </c>
      <c r="I8" t="s">
        <v>54</v>
      </c>
      <c r="J8" t="s">
        <v>61</v>
      </c>
      <c r="K8" t="s">
        <v>65</v>
      </c>
      <c r="L8" t="s">
        <v>66</v>
      </c>
    </row>
    <row r="9" spans="1:12" x14ac:dyDescent="0.35">
      <c r="A9" t="s">
        <v>11</v>
      </c>
      <c r="B9" t="s">
        <v>22</v>
      </c>
      <c r="C9" t="s">
        <v>68</v>
      </c>
      <c r="D9" t="s">
        <v>14</v>
      </c>
      <c r="E9" t="s">
        <v>32</v>
      </c>
      <c r="F9" t="s">
        <v>35</v>
      </c>
      <c r="G9" s="4" t="s">
        <v>43</v>
      </c>
      <c r="H9" t="s">
        <v>52</v>
      </c>
      <c r="I9" t="s">
        <v>54</v>
      </c>
      <c r="J9" t="s">
        <v>62</v>
      </c>
      <c r="K9" t="s">
        <v>66</v>
      </c>
      <c r="L9" t="s">
        <v>65</v>
      </c>
    </row>
    <row r="10" spans="1:12" x14ac:dyDescent="0.35">
      <c r="A10" t="s">
        <v>11</v>
      </c>
      <c r="B10" t="s">
        <v>23</v>
      </c>
      <c r="C10" t="s">
        <v>69</v>
      </c>
      <c r="D10" t="s">
        <v>68</v>
      </c>
      <c r="E10" t="s">
        <v>33</v>
      </c>
      <c r="F10" t="s">
        <v>35</v>
      </c>
      <c r="G10" s="4" t="s">
        <v>44</v>
      </c>
      <c r="H10" t="s">
        <v>51</v>
      </c>
      <c r="I10" t="s">
        <v>54</v>
      </c>
      <c r="J10" t="s">
        <v>63</v>
      </c>
      <c r="K10" t="s">
        <v>65</v>
      </c>
      <c r="L10" t="s">
        <v>66</v>
      </c>
    </row>
    <row r="11" spans="1:12" x14ac:dyDescent="0.35">
      <c r="A11" t="s">
        <v>11</v>
      </c>
      <c r="B11" t="s">
        <v>24</v>
      </c>
      <c r="C11" t="s">
        <v>69</v>
      </c>
      <c r="D11" t="s">
        <v>69</v>
      </c>
      <c r="E11" t="s">
        <v>34</v>
      </c>
      <c r="F11" t="s">
        <v>35</v>
      </c>
      <c r="G11" s="4" t="s">
        <v>45</v>
      </c>
      <c r="H11" t="s">
        <v>53</v>
      </c>
      <c r="I11" t="s">
        <v>54</v>
      </c>
      <c r="J11" t="s">
        <v>64</v>
      </c>
      <c r="K11" t="s">
        <v>65</v>
      </c>
      <c r="L11" t="s">
        <v>66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/>
  </sheetViews>
  <sheetFormatPr defaultRowHeight="15.5" x14ac:dyDescent="0.35"/>
  <cols>
    <col min="1" max="1" width="4.9140625" bestFit="1" customWidth="1"/>
    <col min="2" max="2" width="16.4140625" bestFit="1" customWidth="1"/>
    <col min="3" max="3" width="51.4140625" bestFit="1" customWidth="1"/>
    <col min="4" max="4" width="9.1640625" bestFit="1" customWidth="1"/>
    <col min="5" max="5" width="10.08203125" bestFit="1" customWidth="1"/>
  </cols>
  <sheetData>
    <row r="1" spans="1:5" x14ac:dyDescent="0.35">
      <c r="A1" t="s">
        <v>0</v>
      </c>
      <c r="B1" t="s">
        <v>2</v>
      </c>
      <c r="C1" t="s">
        <v>70</v>
      </c>
      <c r="D1" t="s">
        <v>71</v>
      </c>
      <c r="E1" t="s">
        <v>72</v>
      </c>
    </row>
    <row r="2" spans="1:5" x14ac:dyDescent="0.35">
      <c r="A2" t="s">
        <v>11</v>
      </c>
      <c r="B2" t="s">
        <v>73</v>
      </c>
      <c r="C2" t="s">
        <v>74</v>
      </c>
      <c r="D2" t="s">
        <v>75</v>
      </c>
    </row>
    <row r="3" spans="1:5" x14ac:dyDescent="0.35">
      <c r="A3" t="s">
        <v>11</v>
      </c>
      <c r="B3" t="s">
        <v>76</v>
      </c>
      <c r="C3" t="str">
        <f>B3</f>
        <v>Location Outline</v>
      </c>
      <c r="D3" t="s">
        <v>79</v>
      </c>
    </row>
    <row r="4" spans="1:5" x14ac:dyDescent="0.35">
      <c r="A4" t="s">
        <v>11</v>
      </c>
      <c r="B4" t="s">
        <v>77</v>
      </c>
      <c r="C4" t="str">
        <f t="shared" ref="C4:C8" si="0">B4</f>
        <v>Section 10.1c</v>
      </c>
      <c r="D4" t="s">
        <v>75</v>
      </c>
    </row>
    <row r="5" spans="1:5" x14ac:dyDescent="0.35">
      <c r="A5" t="s">
        <v>11</v>
      </c>
      <c r="B5" t="s">
        <v>78</v>
      </c>
      <c r="C5" t="str">
        <f t="shared" si="0"/>
        <v>Section 11</v>
      </c>
      <c r="D5" t="s">
        <v>75</v>
      </c>
    </row>
    <row r="6" spans="1:5" x14ac:dyDescent="0.35">
      <c r="A6" t="s">
        <v>11</v>
      </c>
      <c r="B6" t="s">
        <v>80</v>
      </c>
      <c r="C6" t="str">
        <f t="shared" si="0"/>
        <v>Draft A.I.R.</v>
      </c>
      <c r="D6" t="s">
        <v>75</v>
      </c>
    </row>
    <row r="7" spans="1:5" x14ac:dyDescent="0.35">
      <c r="A7" t="s">
        <v>11</v>
      </c>
      <c r="B7" t="s">
        <v>81</v>
      </c>
      <c r="C7" t="str">
        <f t="shared" si="0"/>
        <v>A.I.R.</v>
      </c>
      <c r="D7" t="s">
        <v>75</v>
      </c>
    </row>
    <row r="8" spans="1:5" x14ac:dyDescent="0.35">
      <c r="A8" t="s">
        <v>11</v>
      </c>
      <c r="B8" t="s">
        <v>82</v>
      </c>
      <c r="C8" t="str">
        <f t="shared" si="0"/>
        <v>Application</v>
      </c>
      <c r="D8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E8" sqref="E8"/>
    </sheetView>
  </sheetViews>
  <sheetFormatPr defaultRowHeight="15.5" x14ac:dyDescent="0.35"/>
  <cols>
    <col min="2" max="2" width="23.33203125" bestFit="1" customWidth="1"/>
    <col min="6" max="6" width="11.83203125" bestFit="1" customWidth="1"/>
  </cols>
  <sheetData>
    <row r="1" spans="1:7" x14ac:dyDescent="0.35">
      <c r="A1" t="s">
        <v>0</v>
      </c>
      <c r="B1" t="s">
        <v>2</v>
      </c>
      <c r="C1" t="s">
        <v>85</v>
      </c>
      <c r="D1" t="s">
        <v>84</v>
      </c>
      <c r="E1" t="s">
        <v>86</v>
      </c>
      <c r="F1" t="s">
        <v>87</v>
      </c>
      <c r="G1" t="s">
        <v>88</v>
      </c>
    </row>
    <row r="2" spans="1:7" x14ac:dyDescent="0.35">
      <c r="A2" t="s">
        <v>11</v>
      </c>
      <c r="B2" t="s">
        <v>89</v>
      </c>
      <c r="C2" t="s">
        <v>65</v>
      </c>
      <c r="D2" t="s">
        <v>90</v>
      </c>
      <c r="E2">
        <v>65</v>
      </c>
    </row>
    <row r="3" spans="1:7" x14ac:dyDescent="0.35">
      <c r="A3" t="s">
        <v>11</v>
      </c>
      <c r="B3" t="s">
        <v>91</v>
      </c>
      <c r="C3" t="s">
        <v>65</v>
      </c>
      <c r="D3" t="s">
        <v>95</v>
      </c>
      <c r="E3">
        <v>100</v>
      </c>
    </row>
    <row r="4" spans="1:7" x14ac:dyDescent="0.35">
      <c r="A4" t="s">
        <v>11</v>
      </c>
      <c r="B4" t="s">
        <v>92</v>
      </c>
      <c r="C4" t="s">
        <v>66</v>
      </c>
      <c r="D4" t="s">
        <v>90</v>
      </c>
      <c r="E4">
        <v>100</v>
      </c>
    </row>
    <row r="5" spans="1:7" x14ac:dyDescent="0.35">
      <c r="A5" t="s">
        <v>11</v>
      </c>
      <c r="B5" t="s">
        <v>78</v>
      </c>
      <c r="C5" t="s">
        <v>66</v>
      </c>
      <c r="D5" t="s">
        <v>90</v>
      </c>
      <c r="E5">
        <v>100</v>
      </c>
    </row>
    <row r="6" spans="1:7" x14ac:dyDescent="0.35">
      <c r="A6" t="s">
        <v>11</v>
      </c>
      <c r="B6" t="s">
        <v>93</v>
      </c>
      <c r="C6" t="s">
        <v>66</v>
      </c>
      <c r="D6" t="s">
        <v>90</v>
      </c>
      <c r="E6">
        <v>100</v>
      </c>
    </row>
    <row r="7" spans="1:7" x14ac:dyDescent="0.35">
      <c r="A7" t="s">
        <v>11</v>
      </c>
      <c r="B7" t="s">
        <v>94</v>
      </c>
      <c r="C7" t="s">
        <v>66</v>
      </c>
      <c r="D7" t="s">
        <v>90</v>
      </c>
      <c r="E7">
        <v>85</v>
      </c>
    </row>
    <row r="8" spans="1:7" x14ac:dyDescent="0.35">
      <c r="A8" t="s">
        <v>11</v>
      </c>
      <c r="B8" t="s">
        <v>82</v>
      </c>
      <c r="C8" t="s">
        <v>66</v>
      </c>
      <c r="D8" t="s">
        <v>90</v>
      </c>
      <c r="E8">
        <v>25</v>
      </c>
    </row>
    <row r="9" spans="1:7" x14ac:dyDescent="0.35">
      <c r="A9" t="s">
        <v>11</v>
      </c>
      <c r="B9" t="s">
        <v>96</v>
      </c>
      <c r="C9" t="s">
        <v>66</v>
      </c>
      <c r="D9" t="s">
        <v>90</v>
      </c>
      <c r="E9">
        <v>25</v>
      </c>
    </row>
    <row r="10" spans="1:7" x14ac:dyDescent="0.35">
      <c r="A10" t="s">
        <v>11</v>
      </c>
      <c r="B10" t="s">
        <v>97</v>
      </c>
      <c r="C10" t="s">
        <v>66</v>
      </c>
      <c r="D10" t="s">
        <v>90</v>
      </c>
      <c r="E10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H2" sqref="H2"/>
    </sheetView>
  </sheetViews>
  <sheetFormatPr defaultRowHeight="15.5" x14ac:dyDescent="0.35"/>
  <cols>
    <col min="1" max="1" width="4.9140625" bestFit="1" customWidth="1"/>
    <col min="2" max="2" width="17.08203125" bestFit="1" customWidth="1"/>
    <col min="3" max="3" width="16.4140625" bestFit="1" customWidth="1"/>
    <col min="4" max="4" width="6.33203125" bestFit="1" customWidth="1"/>
    <col min="5" max="5" width="12.5" bestFit="1" customWidth="1"/>
    <col min="6" max="6" width="26.58203125" bestFit="1" customWidth="1"/>
    <col min="7" max="7" width="15.9140625" bestFit="1" customWidth="1"/>
    <col min="8" max="8" width="13.75" bestFit="1" customWidth="1"/>
  </cols>
  <sheetData>
    <row r="1" spans="1:8" x14ac:dyDescent="0.35">
      <c r="A1" t="s">
        <v>0</v>
      </c>
      <c r="B1" t="s">
        <v>71</v>
      </c>
      <c r="C1" t="s">
        <v>2</v>
      </c>
      <c r="D1" t="s">
        <v>98</v>
      </c>
      <c r="E1" t="s">
        <v>99</v>
      </c>
      <c r="F1" t="s">
        <v>102</v>
      </c>
      <c r="G1" t="s">
        <v>100</v>
      </c>
      <c r="H1" t="s">
        <v>101</v>
      </c>
    </row>
    <row r="2" spans="1:8" x14ac:dyDescent="0.35">
      <c r="A2" t="s">
        <v>11</v>
      </c>
      <c r="B2" t="s">
        <v>103</v>
      </c>
      <c r="C2" t="s">
        <v>73</v>
      </c>
      <c r="E2">
        <v>-473</v>
      </c>
      <c r="F2" t="s">
        <v>28</v>
      </c>
      <c r="G2" t="s">
        <v>104</v>
      </c>
      <c r="H2" t="s">
        <v>105</v>
      </c>
    </row>
    <row r="3" spans="1:8" x14ac:dyDescent="0.35">
      <c r="A3" t="s">
        <v>11</v>
      </c>
      <c r="B3" t="s">
        <v>103</v>
      </c>
      <c r="C3" t="s">
        <v>77</v>
      </c>
      <c r="E3">
        <v>-465</v>
      </c>
      <c r="F3" t="s">
        <v>28</v>
      </c>
      <c r="G3" t="s">
        <v>104</v>
      </c>
      <c r="H3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pane ySplit="1" topLeftCell="A2" activePane="bottomLeft" state="frozen"/>
      <selection pane="bottomLeft" activeCell="E2" sqref="E2"/>
    </sheetView>
  </sheetViews>
  <sheetFormatPr defaultRowHeight="15.5" x14ac:dyDescent="0.35"/>
  <cols>
    <col min="1" max="1" width="4.9140625" bestFit="1" customWidth="1"/>
    <col min="2" max="2" width="8.25" bestFit="1" customWidth="1"/>
    <col min="3" max="3" width="18" bestFit="1" customWidth="1"/>
    <col min="4" max="4" width="9.25" bestFit="1" customWidth="1"/>
    <col min="5" max="5" width="24" bestFit="1" customWidth="1"/>
  </cols>
  <sheetData>
    <row r="1" spans="1:5" x14ac:dyDescent="0.35">
      <c r="A1" t="s">
        <v>0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5">
      <c r="A2" t="s">
        <v>11</v>
      </c>
      <c r="B2" t="s">
        <v>105</v>
      </c>
      <c r="C2" t="s">
        <v>117</v>
      </c>
      <c r="D2">
        <v>-473</v>
      </c>
      <c r="E2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G2" sqref="G2"/>
    </sheetView>
  </sheetViews>
  <sheetFormatPr defaultRowHeight="15.5" x14ac:dyDescent="0.35"/>
  <cols>
    <col min="2" max="2" width="13" bestFit="1" customWidth="1"/>
    <col min="3" max="3" width="12.83203125" bestFit="1" customWidth="1"/>
    <col min="8" max="8" width="10.08203125" bestFit="1" customWidth="1"/>
  </cols>
  <sheetData>
    <row r="1" spans="1:10" x14ac:dyDescent="0.35">
      <c r="A1" t="s">
        <v>0</v>
      </c>
      <c r="B1" t="s">
        <v>118</v>
      </c>
      <c r="C1" t="s">
        <v>119</v>
      </c>
      <c r="D1" t="s">
        <v>120</v>
      </c>
      <c r="E1" t="s">
        <v>123</v>
      </c>
      <c r="F1" t="s">
        <v>121</v>
      </c>
      <c r="G1" t="s">
        <v>124</v>
      </c>
      <c r="H1" t="s">
        <v>122</v>
      </c>
      <c r="I1" t="s">
        <v>72</v>
      </c>
      <c r="J1" t="s">
        <v>109</v>
      </c>
    </row>
    <row r="2" spans="1:10" x14ac:dyDescent="0.35">
      <c r="A2" t="s">
        <v>11</v>
      </c>
      <c r="B2" t="s">
        <v>24</v>
      </c>
      <c r="C2" t="s">
        <v>125</v>
      </c>
      <c r="D2" t="s">
        <v>126</v>
      </c>
      <c r="E2" t="s">
        <v>66</v>
      </c>
      <c r="F2">
        <v>-432</v>
      </c>
      <c r="G2" t="s">
        <v>26</v>
      </c>
      <c r="H2">
        <v>-380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"/>
      <selection pane="bottomLeft" activeCell="D3" sqref="D3:E3"/>
    </sheetView>
  </sheetViews>
  <sheetFormatPr defaultRowHeight="15.5" x14ac:dyDescent="0.35"/>
  <cols>
    <col min="3" max="3" width="5.6640625" bestFit="1" customWidth="1"/>
    <col min="5" max="5" width="11.08203125" bestFit="1" customWidth="1"/>
    <col min="6" max="6" width="28.08203125" customWidth="1"/>
    <col min="7" max="7" width="15.9140625" bestFit="1" customWidth="1"/>
    <col min="8" max="8" width="27.5" bestFit="1" customWidth="1"/>
    <col min="9" max="9" width="27.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t="s">
        <v>11</v>
      </c>
      <c r="B2" t="s">
        <v>134</v>
      </c>
      <c r="C2" t="s">
        <v>135</v>
      </c>
      <c r="D2">
        <v>-471</v>
      </c>
      <c r="E2">
        <v>-473</v>
      </c>
      <c r="F2" t="s">
        <v>136</v>
      </c>
      <c r="G2" t="s">
        <v>104</v>
      </c>
      <c r="H2" t="s">
        <v>31</v>
      </c>
    </row>
    <row r="3" spans="1:9" x14ac:dyDescent="0.35">
      <c r="A3" t="s">
        <v>11</v>
      </c>
      <c r="B3" t="s">
        <v>134</v>
      </c>
      <c r="C3" t="s">
        <v>135</v>
      </c>
      <c r="D3">
        <v>-471</v>
      </c>
      <c r="E3">
        <v>-473</v>
      </c>
      <c r="F3" t="s">
        <v>136</v>
      </c>
      <c r="G3" t="s">
        <v>104</v>
      </c>
      <c r="I3" t="s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K2" sqref="K2"/>
    </sheetView>
  </sheetViews>
  <sheetFormatPr defaultRowHeight="15.5" x14ac:dyDescent="0.35"/>
  <cols>
    <col min="2" max="2" width="11.5" bestFit="1" customWidth="1"/>
    <col min="3" max="3" width="22.5" bestFit="1" customWidth="1"/>
    <col min="5" max="5" width="21" bestFit="1" customWidth="1"/>
    <col min="6" max="6" width="11" bestFit="1" customWidth="1"/>
    <col min="10" max="10" width="14.75" bestFit="1" customWidth="1"/>
  </cols>
  <sheetData>
    <row r="1" spans="1:11" x14ac:dyDescent="0.35">
      <c r="A1" t="s">
        <v>0</v>
      </c>
      <c r="B1" t="s">
        <v>149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148</v>
      </c>
    </row>
    <row r="2" spans="1:11" x14ac:dyDescent="0.35">
      <c r="A2" t="s">
        <v>11</v>
      </c>
      <c r="B2" t="str">
        <f>A2&amp;"-iss"&amp;TEXT(ROW(),"0000")</f>
        <v>knob-iss0002</v>
      </c>
      <c r="C2" t="s">
        <v>141</v>
      </c>
      <c r="E2" t="s">
        <v>27</v>
      </c>
      <c r="F2">
        <v>-423</v>
      </c>
      <c r="H2" t="s">
        <v>90</v>
      </c>
      <c r="I2">
        <v>1</v>
      </c>
      <c r="J2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/>
  </sheetViews>
  <sheetFormatPr defaultRowHeight="15.5" x14ac:dyDescent="0.35"/>
  <cols>
    <col min="1" max="1" width="11.5" bestFit="1" customWidth="1"/>
    <col min="2" max="2" width="19.75" bestFit="1" customWidth="1"/>
    <col min="3" max="3" width="24.1640625" bestFit="1" customWidth="1"/>
    <col min="4" max="4" width="36.1640625" bestFit="1" customWidth="1"/>
    <col min="5" max="5" width="11.75" bestFit="1" customWidth="1"/>
    <col min="6" max="6" width="10.75" bestFit="1" customWidth="1"/>
    <col min="7" max="7" width="15.9140625" bestFit="1" customWidth="1"/>
  </cols>
  <sheetData>
    <row r="1" spans="1:7" x14ac:dyDescent="0.35">
      <c r="A1" t="s">
        <v>0</v>
      </c>
      <c r="B1" t="s">
        <v>151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">
        <v>150</v>
      </c>
      <c r="B2" t="str">
        <f>A2&amp;"-resp"&amp;TEXT(ROW(),"0000")</f>
        <v>knob-iss0002-resp0002</v>
      </c>
      <c r="C2" t="s">
        <v>26</v>
      </c>
      <c r="D2" t="s">
        <v>152</v>
      </c>
      <c r="E2">
        <v>-412</v>
      </c>
      <c r="F2">
        <v>-400</v>
      </c>
      <c r="G2" t="s">
        <v>104</v>
      </c>
    </row>
    <row r="3" spans="1:7" x14ac:dyDescent="0.35">
      <c r="A3" t="s">
        <v>150</v>
      </c>
      <c r="B3" t="str">
        <f>A3&amp;"-resp"&amp;TEXT(ROW(),"0000")</f>
        <v>knob-iss0002-resp0003</v>
      </c>
      <c r="C3" t="s">
        <v>28</v>
      </c>
      <c r="D3" t="s">
        <v>153</v>
      </c>
      <c r="E3">
        <v>-378</v>
      </c>
      <c r="F3">
        <v>-350</v>
      </c>
      <c r="G3" t="s">
        <v>104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D2" sqref="D2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12.58203125" bestFit="1" customWidth="1"/>
    <col min="4" max="4" width="24.164062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">
        <v>11</v>
      </c>
      <c r="B2" t="str">
        <f>A2&amp;"-appr"&amp;TEXT(ROW(),"0000")</f>
        <v>knob-appr0002</v>
      </c>
      <c r="C2">
        <v>-473</v>
      </c>
      <c r="D2" t="s">
        <v>29</v>
      </c>
      <c r="E2" t="s">
        <v>156</v>
      </c>
    </row>
    <row r="3" spans="1:5" x14ac:dyDescent="0.35">
      <c r="A3" t="s">
        <v>11</v>
      </c>
      <c r="B3" t="str">
        <f>A3&amp;"-appr"&amp;TEXT(ROW(),"0000")</f>
        <v>knob-appr0003</v>
      </c>
      <c r="C3">
        <v>-452</v>
      </c>
      <c r="D3" t="s">
        <v>26</v>
      </c>
      <c r="E3" t="s">
        <v>156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G2" sqref="G2"/>
    </sheetView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78.75" bestFit="1" customWidth="1"/>
    <col min="7" max="7" width="10.91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162</v>
      </c>
    </row>
    <row r="2" spans="1:7" x14ac:dyDescent="0.35">
      <c r="A2" t="s">
        <v>11</v>
      </c>
      <c r="B2" t="str">
        <f>A2&amp;"-cond"&amp;TEXT(ROW(),"0000")</f>
        <v>knob-cond0002</v>
      </c>
      <c r="C2">
        <v>-220</v>
      </c>
      <c r="D2" t="s">
        <v>29</v>
      </c>
      <c r="E2" t="s">
        <v>164</v>
      </c>
      <c r="F2" t="s">
        <v>161</v>
      </c>
      <c r="G2" t="s">
        <v>163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/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29.5" customWidth="1"/>
    <col min="6" max="6" width="8.6640625" bestFit="1" customWidth="1"/>
    <col min="7" max="7" width="19.66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159</v>
      </c>
    </row>
    <row r="2" spans="1:7" x14ac:dyDescent="0.35">
      <c r="A2" t="str">
        <f>IF(ISBLANK(Conditions!A2),"-",Conditions!A2)</f>
        <v>knob</v>
      </c>
      <c r="B2" t="str">
        <f>IF(ISBLANK(Conditions!B2),"-",Conditions!B2)</f>
        <v>knob-cond0002</v>
      </c>
      <c r="C2" t="str">
        <f ca="1">IF(ISBLANK(Conditions!C2),"rg:None",TEXT(TODAY()+Conditions!C2,"YYYY-MM-DDTHH:mm:SS.000Z"))</f>
        <v>2015-03-25T00:00:00.000Z</v>
      </c>
      <c r="D2" t="str">
        <f>"rg:{'_id': '"&amp;Conditions!D2&amp;"'}"</f>
        <v>rg:{'_id': 'CeciliaFBrown@gustr.com'}</v>
      </c>
      <c r="E2" t="str">
        <f>IF(ISBLANK(Conditions!E2),"-",Conditions!E2)</f>
        <v>Annual Salmon studies must be conducted each year to verify sustainability across each 5 year period</v>
      </c>
      <c r="F2" t="str">
        <f>IF(ISBLANK(Conditions!F2),"-",Conditions!F2)</f>
        <v>approved</v>
      </c>
      <c r="G2" t="str">
        <f>IF(ISBLANK(Conditions!G2),"rg:[]","rg:{'_id': '"&amp;Conditions!G2&amp;"'}")</f>
        <v>rg:{'_id': '2015Salmon'}</v>
      </c>
    </row>
    <row r="3" spans="1:7" x14ac:dyDescent="0.35">
      <c r="A3" t="str">
        <f>IF(ISBLANK(Conditions!A3),"-",Conditions!A3)</f>
        <v>-</v>
      </c>
      <c r="B3" t="str">
        <f>IF(ISBLANK(Conditions!B3),"-",Conditions!B3)</f>
        <v>-</v>
      </c>
      <c r="C3" t="str">
        <f ca="1">IF(ISBLANK(Conditions!C3),"rg:None",TEXT(TODAY()+Conditions!C3,"YYYY-MM-DDTHH:mm:SS.000Z"))</f>
        <v>rg:None</v>
      </c>
      <c r="D3" t="str">
        <f>"rg:{'_id': '"&amp;Conditions!D3&amp;"'}"</f>
        <v>rg:{'_id': ''}</v>
      </c>
      <c r="E3" t="str">
        <f>IF(ISBLANK(Conditions!E3),"-",Conditions!E3)</f>
        <v>-</v>
      </c>
      <c r="F3" t="str">
        <f>IF(ISBLANK(Conditions!F3),"-",Conditions!F3)</f>
        <v>-</v>
      </c>
      <c r="G3" t="str">
        <f>IF(ISBLANK(Conditions!G3),"rg:[]","rg:{'_id': '"&amp;Conditions!G3&amp;"'}")</f>
        <v>rg:[]</v>
      </c>
    </row>
    <row r="4" spans="1:7" x14ac:dyDescent="0.35">
      <c r="A4" t="str">
        <f>IF(ISBLANK(Conditions!A4),"-",Conditions!A4)</f>
        <v>-</v>
      </c>
      <c r="B4" t="str">
        <f>IF(ISBLANK(Conditions!B4),"-",Conditions!B4)</f>
        <v>-</v>
      </c>
      <c r="C4" t="str">
        <f ca="1">IF(ISBLANK(Conditions!C4),"rg:None",TEXT(TODAY()+Conditions!C4,"YYYY-MM-DDTHH:mm:SS.000Z"))</f>
        <v>rg:None</v>
      </c>
      <c r="D4" t="str">
        <f>"rg:{'_id': '"&amp;Conditions!D4&amp;"'}"</f>
        <v>rg:{'_id': ''}</v>
      </c>
      <c r="E4" t="str">
        <f>IF(ISBLANK(Conditions!E4),"-",Conditions!E4)</f>
        <v>-</v>
      </c>
      <c r="F4" t="str">
        <f>IF(ISBLANK(Conditions!F4),"-",Conditions!F4)</f>
        <v>-</v>
      </c>
      <c r="G4" t="str">
        <f>IF(ISBLANK(Conditions!G4),"rg:[]","rg:{'_id': '"&amp;Conditions!G4&amp;"'}")</f>
        <v>rg:[]</v>
      </c>
    </row>
    <row r="5" spans="1:7" x14ac:dyDescent="0.35">
      <c r="A5" t="str">
        <f>IF(ISBLANK(Conditions!A5),"-",Conditions!A5)</f>
        <v>-</v>
      </c>
      <c r="B5" t="str">
        <f>IF(ISBLANK(Conditions!B5),"-",Conditions!B5)</f>
        <v>-</v>
      </c>
      <c r="C5" t="str">
        <f ca="1">IF(ISBLANK(Conditions!C5),"rg:None",TEXT(TODAY()+Conditions!C5,"YYYY-MM-DDTHH:mm:SS.000Z"))</f>
        <v>rg:None</v>
      </c>
      <c r="D5" t="str">
        <f>"rg:{'_id': '"&amp;Conditions!D5&amp;"'}"</f>
        <v>rg:{'_id': ''}</v>
      </c>
      <c r="E5" t="str">
        <f>IF(ISBLANK(Conditions!E5),"-",Conditions!E5)</f>
        <v>-</v>
      </c>
      <c r="F5" t="str">
        <f>IF(ISBLANK(Conditions!F5),"-",Conditions!F5)</f>
        <v>-</v>
      </c>
      <c r="G5" t="str">
        <f>IF(ISBLANK(Conditions!G5),"rg:[]","rg:{'_id': '"&amp;Conditions!G5&amp;"'}")</f>
        <v>rg:[]</v>
      </c>
    </row>
    <row r="6" spans="1:7" x14ac:dyDescent="0.35">
      <c r="A6" t="str">
        <f>IF(ISBLANK(Conditions!A6),"-",Conditions!A6)</f>
        <v>-</v>
      </c>
      <c r="B6" t="str">
        <f>IF(ISBLANK(Conditions!B6),"-",Conditions!B6)</f>
        <v>-</v>
      </c>
      <c r="C6" t="str">
        <f ca="1">IF(ISBLANK(Conditions!C6),"rg:None",TEXT(TODAY()+Conditions!C6,"YYYY-MM-DDTHH:mm:SS.000Z"))</f>
        <v>rg:None</v>
      </c>
      <c r="D6" t="str">
        <f>"rg:{'_id': '"&amp;Conditions!D6&amp;"'}"</f>
        <v>rg:{'_id': ''}</v>
      </c>
      <c r="E6" t="str">
        <f>IF(ISBLANK(Conditions!E6),"-",Conditions!E6)</f>
        <v>-</v>
      </c>
      <c r="F6" t="str">
        <f>IF(ISBLANK(Conditions!F6),"-",Conditions!F6)</f>
        <v>-</v>
      </c>
      <c r="G6" t="str">
        <f>IF(ISBLANK(Conditions!G6),"rg:[]","rg:{'_id': '"&amp;Conditions!G6&amp;"'}")</f>
        <v>rg:[]</v>
      </c>
    </row>
    <row r="7" spans="1:7" x14ac:dyDescent="0.35">
      <c r="A7" t="str">
        <f>IF(ISBLANK(Conditions!A7),"-",Conditions!A7)</f>
        <v>-</v>
      </c>
      <c r="B7" t="str">
        <f>IF(ISBLANK(Conditions!B7),"-",Conditions!B7)</f>
        <v>-</v>
      </c>
      <c r="C7" t="str">
        <f ca="1">IF(ISBLANK(Conditions!C7),"rg:None",TEXT(TODAY()+Conditions!C7,"YYYY-MM-DDTHH:mm:SS.000Z"))</f>
        <v>rg:None</v>
      </c>
      <c r="D7" t="str">
        <f>"rg:{'_id': '"&amp;Conditions!D7&amp;"'}"</f>
        <v>rg:{'_id': ''}</v>
      </c>
      <c r="E7" t="str">
        <f>IF(ISBLANK(Conditions!E7),"-",Conditions!E7)</f>
        <v>-</v>
      </c>
      <c r="F7" t="str">
        <f>IF(ISBLANK(Conditions!F7),"-",Conditions!F7)</f>
        <v>-</v>
      </c>
      <c r="G7" t="str">
        <f>IF(ISBLANK(Conditions!G7),"rg:[]","rg:{'_id': '"&amp;Conditions!G7&amp;"'}")</f>
        <v>rg:[]</v>
      </c>
    </row>
    <row r="8" spans="1:7" x14ac:dyDescent="0.35">
      <c r="A8" t="str">
        <f>IF(ISBLANK(Conditions!A8),"-",Conditions!A8)</f>
        <v>-</v>
      </c>
      <c r="B8" t="str">
        <f>IF(ISBLANK(Conditions!B8),"-",Conditions!B8)</f>
        <v>-</v>
      </c>
      <c r="C8" t="str">
        <f ca="1">IF(ISBLANK(Conditions!C8),"rg:None",TEXT(TODAY()+Conditions!C8,"YYYY-MM-DDTHH:mm:SS.000Z"))</f>
        <v>rg:None</v>
      </c>
      <c r="D8" t="str">
        <f>"rg:{'_id': '"&amp;Conditions!D8&amp;"'}"</f>
        <v>rg:{'_id': ''}</v>
      </c>
      <c r="E8" t="str">
        <f>IF(ISBLANK(Conditions!E8),"-",Conditions!E8)</f>
        <v>-</v>
      </c>
      <c r="F8" t="str">
        <f>IF(ISBLANK(Conditions!F8),"-",Conditions!F8)</f>
        <v>-</v>
      </c>
      <c r="G8" t="str">
        <f>IF(ISBLANK(Conditions!G8),"rg:[]","rg:{'_id': '"&amp;Conditions!G8&amp;"'}")</f>
        <v>rg:[]</v>
      </c>
    </row>
    <row r="9" spans="1:7" x14ac:dyDescent="0.35">
      <c r="A9" t="str">
        <f>IF(ISBLANK(Conditions!A9),"-",Conditions!A9)</f>
        <v>-</v>
      </c>
      <c r="B9" t="str">
        <f>IF(ISBLANK(Conditions!B9),"-",Conditions!B9)</f>
        <v>-</v>
      </c>
      <c r="C9" t="str">
        <f ca="1">IF(ISBLANK(Conditions!C9),"rg:None",TEXT(TODAY()+Conditions!C9,"YYYY-MM-DDTHH:mm:SS.000Z"))</f>
        <v>rg:None</v>
      </c>
      <c r="D9" t="str">
        <f>"rg:{'_id': '"&amp;Conditions!D9&amp;"'}"</f>
        <v>rg:{'_id': ''}</v>
      </c>
      <c r="E9" t="str">
        <f>IF(ISBLANK(Conditions!E9),"-",Conditions!E9)</f>
        <v>-</v>
      </c>
      <c r="F9" t="str">
        <f>IF(ISBLANK(Conditions!F9),"-",Conditions!F9)</f>
        <v>-</v>
      </c>
      <c r="G9" t="str">
        <f>IF(ISBLANK(Conditions!G9),"rg:[]","rg:{'_id': '"&amp;Conditions!G9&amp;"'}")</f>
        <v>rg:[]</v>
      </c>
    </row>
    <row r="10" spans="1:7" x14ac:dyDescent="0.35">
      <c r="A10" t="str">
        <f>IF(ISBLANK(Conditions!A10),"-",Conditions!A10)</f>
        <v>-</v>
      </c>
      <c r="B10" t="str">
        <f>IF(ISBLANK(Conditions!B10),"-",Conditions!B10)</f>
        <v>-</v>
      </c>
      <c r="C10" t="str">
        <f ca="1">IF(ISBLANK(Conditions!C10),"rg:None",TEXT(TODAY()+Conditions!C10,"YYYY-MM-DDTHH:mm:SS.000Z"))</f>
        <v>rg:None</v>
      </c>
      <c r="D10" t="str">
        <f>"rg:{'_id': '"&amp;Conditions!D10&amp;"'}"</f>
        <v>rg:{'_id': ''}</v>
      </c>
      <c r="E10" t="str">
        <f>IF(ISBLANK(Conditions!E10),"-",Conditions!E10)</f>
        <v>-</v>
      </c>
      <c r="F10" t="str">
        <f>IF(ISBLANK(Conditions!F10),"-",Conditions!F10)</f>
        <v>-</v>
      </c>
      <c r="G10" t="str">
        <f>IF(ISBLANK(Conditions!G10),"rg:[]","rg:{'_id': '"&amp;Conditions!G10&amp;"'}")</f>
        <v>rg:[]</v>
      </c>
    </row>
    <row r="11" spans="1:7" x14ac:dyDescent="0.35">
      <c r="A11" t="str">
        <f>IF(ISBLANK(Conditions!A11),"-",Conditions!A11)</f>
        <v>-</v>
      </c>
      <c r="B11" t="str">
        <f>IF(ISBLANK(Conditions!B11),"-",Conditions!B11)</f>
        <v>-</v>
      </c>
      <c r="C11" t="str">
        <f ca="1">IF(ISBLANK(Conditions!C11),"rg:None",TEXT(TODAY()+Conditions!C11,"YYYY-MM-DDTHH:mm:SS.000Z"))</f>
        <v>rg:None</v>
      </c>
      <c r="D11" t="str">
        <f>"rg:{'_id': '"&amp;Conditions!D11&amp;"'}"</f>
        <v>rg:{'_id': ''}</v>
      </c>
      <c r="E11" t="str">
        <f>IF(ISBLANK(Conditions!E11),"-",Conditions!E11)</f>
        <v>-</v>
      </c>
      <c r="F11" t="str">
        <f>IF(ISBLANK(Conditions!F11),"-",Conditions!F11)</f>
        <v>-</v>
      </c>
      <c r="G11" t="str">
        <f>IF(ISBLANK(Conditions!G11),"rg:[]","rg:{'_id': '"&amp;Conditions!G11&amp;"'}")</f>
        <v>rg:[]</v>
      </c>
    </row>
    <row r="12" spans="1:7" x14ac:dyDescent="0.35">
      <c r="A12" t="str">
        <f>IF(ISBLANK(Conditions!A12),"-",Conditions!A12)</f>
        <v>-</v>
      </c>
      <c r="B12" t="str">
        <f>IF(ISBLANK(Conditions!B12),"-",Conditions!B12)</f>
        <v>-</v>
      </c>
      <c r="C12" t="str">
        <f ca="1">IF(ISBLANK(Conditions!C12),"rg:None",TEXT(TODAY()+Conditions!C12,"YYYY-MM-DDTHH:mm:SS.000Z"))</f>
        <v>rg:None</v>
      </c>
      <c r="D12" t="str">
        <f>"rg:{'_id': '"&amp;Conditions!D12&amp;"'}"</f>
        <v>rg:{'_id': ''}</v>
      </c>
      <c r="E12" t="str">
        <f>IF(ISBLANK(Conditions!E12),"-",Conditions!E12)</f>
        <v>-</v>
      </c>
      <c r="F12" t="str">
        <f>IF(ISBLANK(Conditions!F12),"-",Conditions!F12)</f>
        <v>-</v>
      </c>
      <c r="G12" t="str">
        <f>IF(ISBLANK(Conditions!G12),"rg:[]","rg:{'_id': '"&amp;Conditions!G12&amp;"'}")</f>
        <v>rg:[]</v>
      </c>
    </row>
    <row r="13" spans="1:7" x14ac:dyDescent="0.35">
      <c r="A13" t="str">
        <f>IF(ISBLANK(Conditions!A13),"-",Conditions!A13)</f>
        <v>-</v>
      </c>
      <c r="B13" t="str">
        <f>IF(ISBLANK(Conditions!B13),"-",Conditions!B13)</f>
        <v>-</v>
      </c>
      <c r="C13" t="str">
        <f ca="1">IF(ISBLANK(Conditions!C13),"rg:None",TEXT(TODAY()+Conditions!C13,"YYYY-MM-DDTHH:mm:SS.000Z"))</f>
        <v>rg:None</v>
      </c>
      <c r="D13" t="str">
        <f>"rg:{'_id': '"&amp;Conditions!D13&amp;"'}"</f>
        <v>rg:{'_id': ''}</v>
      </c>
      <c r="E13" t="str">
        <f>IF(ISBLANK(Conditions!E13),"-",Conditions!E13)</f>
        <v>-</v>
      </c>
      <c r="F13" t="str">
        <f>IF(ISBLANK(Conditions!F13),"-",Conditions!F13)</f>
        <v>-</v>
      </c>
      <c r="G13" t="str">
        <f>IF(ISBLANK(Conditions!G13),"rg:[]","rg:{'_id': '"&amp;Conditions!G13&amp;"'}")</f>
        <v>rg:[]</v>
      </c>
    </row>
    <row r="14" spans="1:7" x14ac:dyDescent="0.35">
      <c r="A14" t="str">
        <f>IF(ISBLANK(Conditions!A14),"-",Conditions!A14)</f>
        <v>-</v>
      </c>
      <c r="B14" t="str">
        <f>IF(ISBLANK(Conditions!B14),"-",Conditions!B14)</f>
        <v>-</v>
      </c>
      <c r="C14" t="str">
        <f ca="1">IF(ISBLANK(Conditions!C14),"rg:None",TEXT(TODAY()+Conditions!C14,"YYYY-MM-DDTHH:mm:SS.000Z"))</f>
        <v>rg:None</v>
      </c>
      <c r="D14" t="str">
        <f>"rg:{'_id': '"&amp;Conditions!D14&amp;"'}"</f>
        <v>rg:{'_id': ''}</v>
      </c>
      <c r="E14" t="str">
        <f>IF(ISBLANK(Conditions!E14),"-",Conditions!E14)</f>
        <v>-</v>
      </c>
      <c r="F14" t="str">
        <f>IF(ISBLANK(Conditions!F14),"-",Conditions!F14)</f>
        <v>-</v>
      </c>
      <c r="G14" t="str">
        <f>IF(ISBLANK(Conditions!G14),"rg:[]","rg:{'_id': '"&amp;Conditions!G14&amp;"'}")</f>
        <v>rg:[]</v>
      </c>
    </row>
    <row r="15" spans="1:7" x14ac:dyDescent="0.35">
      <c r="A15" t="str">
        <f>IF(ISBLANK(Conditions!A15),"-",Conditions!A15)</f>
        <v>-</v>
      </c>
      <c r="B15" t="str">
        <f>IF(ISBLANK(Conditions!B15),"-",Conditions!B15)</f>
        <v>-</v>
      </c>
      <c r="C15" t="str">
        <f ca="1">IF(ISBLANK(Conditions!C15),"rg:None",TEXT(TODAY()+Conditions!C15,"YYYY-MM-DDTHH:mm:SS.000Z"))</f>
        <v>rg:None</v>
      </c>
      <c r="D15" t="str">
        <f>"rg:{'_id': '"&amp;Conditions!D15&amp;"'}"</f>
        <v>rg:{'_id': ''}</v>
      </c>
      <c r="E15" t="str">
        <f>IF(ISBLANK(Conditions!E15),"-",Conditions!E15)</f>
        <v>-</v>
      </c>
      <c r="F15" t="str">
        <f>IF(ISBLANK(Conditions!F15),"-",Conditions!F15)</f>
        <v>-</v>
      </c>
      <c r="G15" t="str">
        <f>IF(ISBLANK(Conditions!G15),"rg:[]","rg:{'_id': '"&amp;Conditions!G15&amp;"'}")</f>
        <v>rg:[]</v>
      </c>
    </row>
    <row r="16" spans="1:7" x14ac:dyDescent="0.35">
      <c r="A16" t="str">
        <f>IF(ISBLANK(Conditions!A16),"-",Conditions!A16)</f>
        <v>-</v>
      </c>
      <c r="B16" t="str">
        <f>IF(ISBLANK(Conditions!B16),"-",Conditions!B16)</f>
        <v>-</v>
      </c>
      <c r="C16" t="str">
        <f ca="1">IF(ISBLANK(Conditions!C16),"rg:None",TEXT(TODAY()+Conditions!C16,"YYYY-MM-DDTHH:mm:SS.000Z"))</f>
        <v>rg:None</v>
      </c>
      <c r="D16" t="str">
        <f>"rg:{'_id': '"&amp;Conditions!D16&amp;"'}"</f>
        <v>rg:{'_id': ''}</v>
      </c>
      <c r="E16" t="str">
        <f>IF(ISBLANK(Conditions!E16),"-",Conditions!E16)</f>
        <v>-</v>
      </c>
      <c r="F16" t="str">
        <f>IF(ISBLANK(Conditions!F16),"-",Conditions!F16)</f>
        <v>-</v>
      </c>
      <c r="G16" t="str">
        <f>IF(ISBLANK(Conditions!G16),"rg:[]","rg:{'_id': '"&amp;Conditions!G16&amp;"'}")</f>
        <v>rg:[]</v>
      </c>
    </row>
    <row r="17" spans="1:7" x14ac:dyDescent="0.35">
      <c r="A17" t="str">
        <f>IF(ISBLANK(Conditions!A17),"-",Conditions!A17)</f>
        <v>-</v>
      </c>
      <c r="B17" t="str">
        <f>IF(ISBLANK(Conditions!B17),"-",Conditions!B17)</f>
        <v>-</v>
      </c>
      <c r="C17" t="str">
        <f ca="1">IF(ISBLANK(Conditions!C17),"rg:None",TEXT(TODAY()+Conditions!C17,"YYYY-MM-DDTHH:mm:SS.000Z"))</f>
        <v>rg:None</v>
      </c>
      <c r="D17" t="str">
        <f>"rg:{'_id': '"&amp;Conditions!D17&amp;"'}"</f>
        <v>rg:{'_id': ''}</v>
      </c>
      <c r="E17" t="str">
        <f>IF(ISBLANK(Conditions!E17),"-",Conditions!E17)</f>
        <v>-</v>
      </c>
      <c r="F17" t="str">
        <f>IF(ISBLANK(Conditions!F17),"-",Conditions!F17)</f>
        <v>-</v>
      </c>
      <c r="G17" t="str">
        <f>IF(ISBLANK(Conditions!G17),"rg:[]","rg:{'_id': '"&amp;Conditions!G17&amp;"'}")</f>
        <v>rg:[]</v>
      </c>
    </row>
    <row r="18" spans="1:7" x14ac:dyDescent="0.35">
      <c r="A18" t="str">
        <f>IF(ISBLANK(Conditions!A18),"-",Conditions!A18)</f>
        <v>-</v>
      </c>
      <c r="B18" t="str">
        <f>IF(ISBLANK(Conditions!B18),"-",Conditions!B18)</f>
        <v>-</v>
      </c>
      <c r="C18" t="str">
        <f ca="1">IF(ISBLANK(Conditions!C18),"rg:None",TEXT(TODAY()+Conditions!C18,"YYYY-MM-DDTHH:mm:SS.000Z"))</f>
        <v>rg:None</v>
      </c>
      <c r="D18" t="str">
        <f>"rg:{'_id': '"&amp;Conditions!D18&amp;"'}"</f>
        <v>rg:{'_id': ''}</v>
      </c>
      <c r="E18" t="str">
        <f>IF(ISBLANK(Conditions!E18),"-",Conditions!E18)</f>
        <v>-</v>
      </c>
      <c r="F18" t="str">
        <f>IF(ISBLANK(Conditions!F18),"-",Conditions!F18)</f>
        <v>-</v>
      </c>
      <c r="G18" t="str">
        <f>IF(ISBLANK(Conditions!G18),"rg:[]","rg:{'_id': '"&amp;Conditions!G18&amp;"'}")</f>
        <v>rg:[]</v>
      </c>
    </row>
    <row r="19" spans="1:7" x14ac:dyDescent="0.35">
      <c r="A19" t="str">
        <f>IF(ISBLANK(Conditions!A19),"-",Conditions!A19)</f>
        <v>-</v>
      </c>
      <c r="B19" t="str">
        <f>IF(ISBLANK(Conditions!B19),"-",Conditions!B19)</f>
        <v>-</v>
      </c>
      <c r="C19" t="str">
        <f ca="1">IF(ISBLANK(Conditions!C19),"rg:None",TEXT(TODAY()+Conditions!C19,"YYYY-MM-DDTHH:mm:SS.000Z"))</f>
        <v>rg:None</v>
      </c>
      <c r="D19" t="str">
        <f>"rg:{'_id': '"&amp;Conditions!D19&amp;"'}"</f>
        <v>rg:{'_id': ''}</v>
      </c>
      <c r="E19" t="str">
        <f>IF(ISBLANK(Conditions!E19),"-",Conditions!E19)</f>
        <v>-</v>
      </c>
      <c r="F19" t="str">
        <f>IF(ISBLANK(Conditions!F19),"-",Conditions!F19)</f>
        <v>-</v>
      </c>
      <c r="G19" t="str">
        <f>IF(ISBLANK(Conditions!G19),"rg:[]","rg:{'_id': '"&amp;Conditions!G19&amp;"'}")</f>
        <v>rg:[]</v>
      </c>
    </row>
    <row r="20" spans="1:7" x14ac:dyDescent="0.35">
      <c r="A20" t="str">
        <f>IF(ISBLANK(Conditions!A20),"-",Conditions!A20)</f>
        <v>-</v>
      </c>
      <c r="B20" t="str">
        <f>IF(ISBLANK(Conditions!B20),"-",Conditions!B20)</f>
        <v>-</v>
      </c>
      <c r="C20" t="str">
        <f ca="1">IF(ISBLANK(Conditions!C20),"rg:None",TEXT(TODAY()+Conditions!C20,"YYYY-MM-DDTHH:mm:SS.000Z"))</f>
        <v>rg:None</v>
      </c>
      <c r="D20" t="str">
        <f>"rg:{'_id': '"&amp;Conditions!D20&amp;"'}"</f>
        <v>rg:{'_id': ''}</v>
      </c>
      <c r="E20" t="str">
        <f>IF(ISBLANK(Conditions!E20),"-",Conditions!E20)</f>
        <v>-</v>
      </c>
      <c r="F20" t="str">
        <f>IF(ISBLANK(Conditions!F20),"-",Conditions!F20)</f>
        <v>-</v>
      </c>
      <c r="G20" t="str">
        <f>IF(ISBLANK(Conditions!G20),"rg:[]","rg:{'_id': '"&amp;Conditions!G20&amp;"'}")</f>
        <v>rg:[]</v>
      </c>
    </row>
    <row r="21" spans="1:7" x14ac:dyDescent="0.35">
      <c r="A21" t="str">
        <f>IF(ISBLANK(Conditions!A21),"-",Conditions!A21)</f>
        <v>-</v>
      </c>
      <c r="B21" t="str">
        <f>IF(ISBLANK(Conditions!B21),"-",Conditions!B21)</f>
        <v>-</v>
      </c>
      <c r="C21" t="str">
        <f ca="1">IF(ISBLANK(Conditions!C21),"rg:None",TEXT(TODAY()+Conditions!C21,"YYYY-MM-DDTHH:mm:SS.000Z"))</f>
        <v>rg:None</v>
      </c>
      <c r="D21" t="str">
        <f>"rg:{'_id': '"&amp;Conditions!D21&amp;"'}"</f>
        <v>rg:{'_id': ''}</v>
      </c>
      <c r="E21" t="str">
        <f>IF(ISBLANK(Conditions!E21),"-",Conditions!E21)</f>
        <v>-</v>
      </c>
      <c r="F21" t="str">
        <f>IF(ISBLANK(Conditions!F21),"-",Conditions!F21)</f>
        <v>-</v>
      </c>
      <c r="G21" t="str">
        <f>IF(ISBLANK(Conditions!G21),"rg:[]","rg:{'_id': '"&amp;Conditions!G21&amp;"'}")</f>
        <v>rg:[]</v>
      </c>
    </row>
    <row r="22" spans="1:7" x14ac:dyDescent="0.35">
      <c r="A22" t="str">
        <f>IF(ISBLANK(Conditions!A22),"-",Conditions!A22)</f>
        <v>-</v>
      </c>
      <c r="B22" t="str">
        <f>IF(ISBLANK(Conditions!B22),"-",Conditions!B22)</f>
        <v>-</v>
      </c>
      <c r="C22" t="str">
        <f ca="1">IF(ISBLANK(Conditions!C22),"rg:None",TEXT(TODAY()+Conditions!C22,"YYYY-MM-DDTHH:mm:SS.000Z"))</f>
        <v>rg:None</v>
      </c>
      <c r="D22" t="str">
        <f>"rg:{'_id': '"&amp;Conditions!D22&amp;"'}"</f>
        <v>rg:{'_id': ''}</v>
      </c>
      <c r="E22" t="str">
        <f>IF(ISBLANK(Conditions!E22),"-",Conditions!E22)</f>
        <v>-</v>
      </c>
      <c r="F22" t="str">
        <f>IF(ISBLANK(Conditions!F22),"-",Conditions!F22)</f>
        <v>-</v>
      </c>
      <c r="G22" t="str">
        <f>IF(ISBLANK(Conditions!G22),"rg:[]","rg:{'_id': '"&amp;Conditions!G22&amp;"'}")</f>
        <v>rg:[]</v>
      </c>
    </row>
    <row r="23" spans="1:7" x14ac:dyDescent="0.35">
      <c r="A23" t="str">
        <f>IF(ISBLANK(Conditions!A23),"-",Conditions!A23)</f>
        <v>-</v>
      </c>
      <c r="B23" t="str">
        <f>IF(ISBLANK(Conditions!B23),"-",Conditions!B23)</f>
        <v>-</v>
      </c>
      <c r="C23" t="str">
        <f ca="1">IF(ISBLANK(Conditions!C23),"rg:None",TEXT(TODAY()+Conditions!C23,"YYYY-MM-DDTHH:mm:SS.000Z"))</f>
        <v>rg:None</v>
      </c>
      <c r="D23" t="str">
        <f>"rg:{'_id': '"&amp;Conditions!D23&amp;"'}"</f>
        <v>rg:{'_id': ''}</v>
      </c>
      <c r="E23" t="str">
        <f>IF(ISBLANK(Conditions!E23),"-",Conditions!E23)</f>
        <v>-</v>
      </c>
      <c r="F23" t="str">
        <f>IF(ISBLANK(Conditions!F23),"-",Conditions!F23)</f>
        <v>-</v>
      </c>
      <c r="G23" t="str">
        <f>IF(ISBLANK(Conditions!G23),"rg:[]","rg:{'_id': '"&amp;Conditions!G23&amp;"'}")</f>
        <v>rg:[]</v>
      </c>
    </row>
    <row r="24" spans="1:7" x14ac:dyDescent="0.35">
      <c r="A24" t="str">
        <f>IF(ISBLANK(Conditions!A24),"-",Conditions!A24)</f>
        <v>-</v>
      </c>
      <c r="B24" t="str">
        <f>IF(ISBLANK(Conditions!B24),"-",Conditions!B24)</f>
        <v>-</v>
      </c>
      <c r="C24" t="str">
        <f ca="1">IF(ISBLANK(Conditions!C24),"rg:None",TEXT(TODAY()+Conditions!C24,"YYYY-MM-DDTHH:mm:SS.000Z"))</f>
        <v>rg:None</v>
      </c>
      <c r="D24" t="str">
        <f>"rg:{'_id': '"&amp;Conditions!D24&amp;"'}"</f>
        <v>rg:{'_id': ''}</v>
      </c>
      <c r="E24" t="str">
        <f>IF(ISBLANK(Conditions!E24),"-",Conditions!E24)</f>
        <v>-</v>
      </c>
      <c r="F24" t="str">
        <f>IF(ISBLANK(Conditions!F24),"-",Conditions!F24)</f>
        <v>-</v>
      </c>
      <c r="G24" t="str">
        <f>IF(ISBLANK(Conditions!G24),"rg:[]","rg:{'_id': '"&amp;Conditions!G24&amp;"'}")</f>
        <v>rg:[]</v>
      </c>
    </row>
    <row r="25" spans="1:7" x14ac:dyDescent="0.35">
      <c r="A25" t="str">
        <f>IF(ISBLANK(Conditions!A25),"-",Conditions!A25)</f>
        <v>-</v>
      </c>
      <c r="B25" t="str">
        <f>IF(ISBLANK(Conditions!B25),"-",Conditions!B25)</f>
        <v>-</v>
      </c>
      <c r="C25" t="str">
        <f ca="1">IF(ISBLANK(Conditions!C25),"rg:None",TEXT(TODAY()+Conditions!C25,"YYYY-MM-DDTHH:mm:SS.000Z"))</f>
        <v>rg:None</v>
      </c>
      <c r="D25" t="str">
        <f>"rg:{'_id': '"&amp;Conditions!D25&amp;"'}"</f>
        <v>rg:{'_id': ''}</v>
      </c>
      <c r="E25" t="str">
        <f>IF(ISBLANK(Conditions!E25),"-",Conditions!E25)</f>
        <v>-</v>
      </c>
      <c r="F25" t="str">
        <f>IF(ISBLANK(Conditions!F25),"-",Conditions!F25)</f>
        <v>-</v>
      </c>
      <c r="G25" t="str">
        <f>IF(ISBLANK(Conditions!G25),"rg:[]","rg:{'_id': '"&amp;Conditions!G25&amp;"'}")</f>
        <v>rg:[]</v>
      </c>
    </row>
    <row r="26" spans="1:7" x14ac:dyDescent="0.35">
      <c r="A26" t="str">
        <f>IF(ISBLANK(Conditions!A26),"-",Conditions!A26)</f>
        <v>-</v>
      </c>
      <c r="B26" t="str">
        <f>IF(ISBLANK(Conditions!B26),"-",Conditions!B26)</f>
        <v>-</v>
      </c>
      <c r="C26" t="str">
        <f ca="1">IF(ISBLANK(Conditions!C26),"rg:None",TEXT(TODAY()+Conditions!C26,"YYYY-MM-DDTHH:mm:SS.000Z"))</f>
        <v>rg:None</v>
      </c>
      <c r="D26" t="str">
        <f>"rg:{'_id': '"&amp;Conditions!D26&amp;"'}"</f>
        <v>rg:{'_id': ''}</v>
      </c>
      <c r="E26" t="str">
        <f>IF(ISBLANK(Conditions!E26),"-",Conditions!E26)</f>
        <v>-</v>
      </c>
      <c r="F26" t="str">
        <f>IF(ISBLANK(Conditions!F26),"-",Conditions!F26)</f>
        <v>-</v>
      </c>
      <c r="G26" t="str">
        <f>IF(ISBLANK(Conditions!G26),"rg:[]","rg:{'_id': '"&amp;Conditions!G26&amp;"'}")</f>
        <v>rg:[]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>
      <selection activeCell="D2" sqref="D2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22.58203125" bestFit="1" customWidth="1"/>
    <col min="4" max="4" width="22.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tr">
        <f>IF(ISBLANK(Approvals!A2),"-",Approvals!A2)</f>
        <v>knob</v>
      </c>
      <c r="B2" t="str">
        <f>IF(ISBLANK(Approvals!B2),"-",Approvals!B2)</f>
        <v>knob-appr0002</v>
      </c>
      <c r="C2" t="str">
        <f ca="1">IF(ISBLANK(Approvals!C2),"rg:None",TEXT(TODAY()+Approvals!C2,"YYYY-MM-DDTHH:mm:SS.000Z"))</f>
        <v>2014-07-15T00:00:00.000Z</v>
      </c>
      <c r="D2" t="str">
        <f>"rg:{'_id': '"&amp;Approvals!D2&amp;"'}"</f>
        <v>rg:{'_id': 'CeciliaFBrown@gustr.com'}</v>
      </c>
      <c r="E2" t="str">
        <f>IF(ISBLANK(Approvals!E2),"-",Approvals!E2)</f>
        <v>Approved.</v>
      </c>
    </row>
    <row r="3" spans="1:5" x14ac:dyDescent="0.35">
      <c r="A3" t="str">
        <f>IF(ISBLANK(Approvals!A3),"-",Approvals!A3)</f>
        <v>knob</v>
      </c>
      <c r="B3" t="str">
        <f>IF(ISBLANK(Approvals!B3),"-",Approvals!B3)</f>
        <v>knob-appr0003</v>
      </c>
      <c r="C3" t="str">
        <f ca="1">IF(ISBLANK(Approvals!C3),"rg:None",TEXT(TODAY()+Approvals!C3,"YYYY-MM-DDTHH:mm:SS.000Z"))</f>
        <v>2014-08-05T00:00:00.000Z</v>
      </c>
      <c r="D3" t="str">
        <f>"rg:{'_id': '"&amp;Approvals!D3&amp;"'}"</f>
        <v>rg:{'_id': 'RandyIConrad@dayrep.com'}</v>
      </c>
      <c r="E3" t="str">
        <f>IF(ISBLANK(Approvals!E3),"-",Approvals!E3)</f>
        <v>Approved.</v>
      </c>
    </row>
    <row r="4" spans="1:5" x14ac:dyDescent="0.35">
      <c r="A4" t="str">
        <f>IF(ISBLANK(Approvals!A4),"-",Approvals!A4)</f>
        <v>-</v>
      </c>
      <c r="B4" t="str">
        <f>IF(ISBLANK(Approvals!B4),"-",Approvals!B4)</f>
        <v>-</v>
      </c>
      <c r="C4" t="str">
        <f ca="1">IF(ISBLANK(Approvals!C4),"rg:None",TEXT(TODAY()+Approvals!C4,"YYYY-MM-DDTHH:mm:SS.000Z"))</f>
        <v>rg:None</v>
      </c>
      <c r="D4" t="str">
        <f>"rg:{'_id': '"&amp;Approvals!D4&amp;"'}"</f>
        <v>rg:{'_id': ''}</v>
      </c>
      <c r="E4" t="str">
        <f>IF(ISBLANK(Approvals!E4),"-",Approvals!E4)</f>
        <v>-</v>
      </c>
    </row>
    <row r="5" spans="1:5" x14ac:dyDescent="0.35">
      <c r="A5" t="str">
        <f>IF(ISBLANK(Approvals!A5),"-",Approvals!A5)</f>
        <v>-</v>
      </c>
      <c r="B5" t="str">
        <f>IF(ISBLANK(Approvals!B5),"-",Approvals!B5)</f>
        <v>-</v>
      </c>
      <c r="C5" t="str">
        <f ca="1">IF(ISBLANK(Approvals!C5),"rg:None",TEXT(TODAY()+Approvals!C5,"YYYY-MM-DDTHH:mm:SS.000Z"))</f>
        <v>rg:None</v>
      </c>
      <c r="D5" t="str">
        <f>"rg:{'_id': '"&amp;Approvals!D5&amp;"'}"</f>
        <v>rg:{'_id': ''}</v>
      </c>
      <c r="E5" t="str">
        <f>IF(ISBLANK(Approvals!E5),"-",Approvals!E5)</f>
        <v>-</v>
      </c>
    </row>
    <row r="6" spans="1:5" x14ac:dyDescent="0.35">
      <c r="A6" t="str">
        <f>IF(ISBLANK(Approvals!A6),"-",Approvals!A6)</f>
        <v>-</v>
      </c>
      <c r="B6" t="str">
        <f>IF(ISBLANK(Approvals!B6),"-",Approvals!B6)</f>
        <v>-</v>
      </c>
      <c r="C6" t="str">
        <f ca="1">IF(ISBLANK(Approvals!C6),"rg:None",TEXT(TODAY()+Approvals!C6,"YYYY-MM-DDTHH:mm:SS.000Z"))</f>
        <v>rg:None</v>
      </c>
      <c r="D6" t="str">
        <f>"rg:{'_id': '"&amp;Approvals!D6&amp;"'}"</f>
        <v>rg:{'_id': ''}</v>
      </c>
      <c r="E6" t="str">
        <f>IF(ISBLANK(Approvals!E6),"-",Approvals!E6)</f>
        <v>-</v>
      </c>
    </row>
    <row r="7" spans="1:5" x14ac:dyDescent="0.35">
      <c r="A7" t="str">
        <f>IF(ISBLANK(Approvals!A7),"-",Approvals!A7)</f>
        <v>-</v>
      </c>
      <c r="B7" t="str">
        <f>IF(ISBLANK(Approvals!B7),"-",Approvals!B7)</f>
        <v>-</v>
      </c>
      <c r="C7" t="str">
        <f ca="1">IF(ISBLANK(Approvals!C7),"rg:None",TEXT(TODAY()+Approvals!C7,"YYYY-MM-DDTHH:mm:SS.000Z"))</f>
        <v>rg:None</v>
      </c>
      <c r="D7" t="str">
        <f>"rg:{'_id': '"&amp;Approvals!D7&amp;"'}"</f>
        <v>rg:{'_id': ''}</v>
      </c>
      <c r="E7" t="str">
        <f>IF(ISBLANK(Approvals!E7),"-",Approvals!E7)</f>
        <v>-</v>
      </c>
    </row>
    <row r="8" spans="1:5" x14ac:dyDescent="0.35">
      <c r="A8" t="str">
        <f>IF(ISBLANK(Approvals!A8),"-",Approvals!A8)</f>
        <v>-</v>
      </c>
      <c r="B8" t="str">
        <f>IF(ISBLANK(Approvals!B8),"-",Approvals!B8)</f>
        <v>-</v>
      </c>
      <c r="C8" t="str">
        <f ca="1">IF(ISBLANK(Approvals!C8),"rg:None",TEXT(TODAY()+Approvals!C8,"YYYY-MM-DDTHH:mm:SS.000Z"))</f>
        <v>rg:None</v>
      </c>
      <c r="D8" t="str">
        <f>"rg:{'_id': '"&amp;Approvals!D8&amp;"'}"</f>
        <v>rg:{'_id': ''}</v>
      </c>
      <c r="E8" t="str">
        <f>IF(ISBLANK(Approvals!E8),"-",Approvals!E8)</f>
        <v>-</v>
      </c>
    </row>
    <row r="9" spans="1:5" x14ac:dyDescent="0.35">
      <c r="A9" t="str">
        <f>IF(ISBLANK(Approvals!A9),"-",Approvals!A9)</f>
        <v>-</v>
      </c>
      <c r="B9" t="str">
        <f>IF(ISBLANK(Approvals!B9),"-",Approvals!B9)</f>
        <v>-</v>
      </c>
      <c r="C9" t="str">
        <f ca="1">IF(ISBLANK(Approvals!C9),"rg:None",TEXT(TODAY()+Approvals!C9,"YYYY-MM-DDTHH:mm:SS.000Z"))</f>
        <v>rg:None</v>
      </c>
      <c r="D9" t="str">
        <f>"rg:{'_id': '"&amp;Approvals!D9&amp;"'}"</f>
        <v>rg:{'_id': ''}</v>
      </c>
      <c r="E9" t="str">
        <f>IF(ISBLANK(Approvals!E9),"-",Approvals!E9)</f>
        <v>-</v>
      </c>
    </row>
    <row r="10" spans="1:5" x14ac:dyDescent="0.35">
      <c r="A10" t="str">
        <f>IF(ISBLANK(Approvals!A10),"-",Approvals!A10)</f>
        <v>-</v>
      </c>
      <c r="B10" t="str">
        <f>IF(ISBLANK(Approvals!B10),"-",Approvals!B10)</f>
        <v>-</v>
      </c>
      <c r="C10" t="str">
        <f ca="1">IF(ISBLANK(Approvals!C10),"rg:None",TEXT(TODAY()+Approvals!C10,"YYYY-MM-DDTHH:mm:SS.000Z"))</f>
        <v>rg:None</v>
      </c>
      <c r="D10" t="str">
        <f>"rg:{'_id': '"&amp;Approvals!D10&amp;"'}"</f>
        <v>rg:{'_id': ''}</v>
      </c>
      <c r="E10" t="str">
        <f>IF(ISBLANK(Approvals!E10),"-",Approvals!E10)</f>
        <v>-</v>
      </c>
    </row>
    <row r="11" spans="1:5" x14ac:dyDescent="0.35">
      <c r="A11" t="str">
        <f>IF(ISBLANK(Approvals!A11),"-",Approvals!A11)</f>
        <v>-</v>
      </c>
      <c r="B11" t="str">
        <f>IF(ISBLANK(Approvals!B11),"-",Approvals!B11)</f>
        <v>-</v>
      </c>
      <c r="C11" t="str">
        <f ca="1">IF(ISBLANK(Approvals!C11),"rg:None",TEXT(TODAY()+Approvals!C11,"YYYY-MM-DDTHH:mm:SS.000Z"))</f>
        <v>rg:None</v>
      </c>
      <c r="D11" t="str">
        <f>"rg:{'_id': '"&amp;Approvals!D11&amp;"'}"</f>
        <v>rg:{'_id': ''}</v>
      </c>
      <c r="E11" t="str">
        <f>IF(ISBLANK(Approvals!E11),"-",Approvals!E11)</f>
        <v>-</v>
      </c>
    </row>
    <row r="12" spans="1:5" x14ac:dyDescent="0.35">
      <c r="A12" t="str">
        <f>IF(ISBLANK(Approvals!A12),"-",Approvals!A12)</f>
        <v>-</v>
      </c>
      <c r="B12" t="str">
        <f>IF(ISBLANK(Approvals!B12),"-",Approvals!B12)</f>
        <v>-</v>
      </c>
      <c r="C12" t="str">
        <f ca="1">IF(ISBLANK(Approvals!C12),"rg:None",TEXT(TODAY()+Approvals!C12,"YYYY-MM-DDTHH:mm:SS.000Z"))</f>
        <v>rg:None</v>
      </c>
      <c r="D12" t="str">
        <f>"rg:{'_id': '"&amp;Approvals!D12&amp;"'}"</f>
        <v>rg:{'_id': ''}</v>
      </c>
      <c r="E12" t="str">
        <f>IF(ISBLANK(Approvals!E12),"-",Approvals!E12)</f>
        <v>-</v>
      </c>
    </row>
    <row r="13" spans="1:5" x14ac:dyDescent="0.35">
      <c r="A13" t="str">
        <f>IF(ISBLANK(Approvals!A13),"-",Approvals!A13)</f>
        <v>-</v>
      </c>
      <c r="B13" t="str">
        <f>IF(ISBLANK(Approvals!B13),"-",Approvals!B13)</f>
        <v>-</v>
      </c>
      <c r="C13" t="str">
        <f ca="1">IF(ISBLANK(Approvals!C13),"rg:None",TEXT(TODAY()+Approvals!C13,"YYYY-MM-DDTHH:mm:SS.000Z"))</f>
        <v>rg:None</v>
      </c>
      <c r="D13" t="str">
        <f>"rg:{'_id': '"&amp;Approvals!D13&amp;"'}"</f>
        <v>rg:{'_id': ''}</v>
      </c>
      <c r="E13" t="str">
        <f>IF(ISBLANK(Approvals!E13),"-",Approvals!E13)</f>
        <v>-</v>
      </c>
    </row>
    <row r="14" spans="1:5" x14ac:dyDescent="0.35">
      <c r="A14" t="str">
        <f>IF(ISBLANK(Approvals!A14),"-",Approvals!A14)</f>
        <v>-</v>
      </c>
      <c r="B14" t="str">
        <f>IF(ISBLANK(Approvals!B14),"-",Approvals!B14)</f>
        <v>-</v>
      </c>
      <c r="C14" t="str">
        <f ca="1">IF(ISBLANK(Approvals!C14),"rg:None",TEXT(TODAY()+Approvals!C14,"YYYY-MM-DDTHH:mm:SS.000Z"))</f>
        <v>rg:None</v>
      </c>
      <c r="D14" t="str">
        <f>"rg:{'_id': '"&amp;Approvals!D14&amp;"'}"</f>
        <v>rg:{'_id': ''}</v>
      </c>
      <c r="E14" t="str">
        <f>IF(ISBLANK(Approvals!E14),"-",Approvals!E14)</f>
        <v>-</v>
      </c>
    </row>
    <row r="15" spans="1:5" x14ac:dyDescent="0.35">
      <c r="A15" t="str">
        <f>IF(ISBLANK(Approvals!A15),"-",Approvals!A15)</f>
        <v>-</v>
      </c>
      <c r="B15" t="str">
        <f>IF(ISBLANK(Approvals!B15),"-",Approvals!B15)</f>
        <v>-</v>
      </c>
      <c r="C15" t="str">
        <f ca="1">IF(ISBLANK(Approvals!C15),"rg:None",TEXT(TODAY()+Approvals!C15,"YYYY-MM-DDTHH:mm:SS.000Z"))</f>
        <v>rg:None</v>
      </c>
      <c r="D15" t="str">
        <f>"rg:{'_id': '"&amp;Approvals!D15&amp;"'}"</f>
        <v>rg:{'_id': ''}</v>
      </c>
      <c r="E15" t="str">
        <f>IF(ISBLANK(Approvals!E15),"-",Approvals!E15)</f>
        <v>-</v>
      </c>
    </row>
    <row r="16" spans="1:5" x14ac:dyDescent="0.35">
      <c r="A16" t="str">
        <f>IF(ISBLANK(Approvals!A16),"-",Approvals!A16)</f>
        <v>-</v>
      </c>
      <c r="B16" t="str">
        <f>IF(ISBLANK(Approvals!B16),"-",Approvals!B16)</f>
        <v>-</v>
      </c>
      <c r="C16" t="str">
        <f ca="1">IF(ISBLANK(Approvals!C16),"rg:None",TEXT(TODAY()+Approvals!C16,"YYYY-MM-DDTHH:mm:SS.000Z"))</f>
        <v>rg:None</v>
      </c>
      <c r="D16" t="str">
        <f>"rg:{'_id': '"&amp;Approvals!D16&amp;"'}"</f>
        <v>rg:{'_id': ''}</v>
      </c>
      <c r="E16" t="str">
        <f>IF(ISBLANK(Approvals!E16),"-",Approvals!E16)</f>
        <v>-</v>
      </c>
    </row>
    <row r="17" spans="1:5" x14ac:dyDescent="0.35">
      <c r="A17" t="str">
        <f>IF(ISBLANK(Approvals!A17),"-",Approvals!A17)</f>
        <v>-</v>
      </c>
      <c r="B17" t="str">
        <f>IF(ISBLANK(Approvals!B17),"-",Approvals!B17)</f>
        <v>-</v>
      </c>
      <c r="C17" t="str">
        <f ca="1">IF(ISBLANK(Approvals!C17),"rg:None",TEXT(TODAY()+Approvals!C17,"YYYY-MM-DDTHH:mm:SS.000Z"))</f>
        <v>rg:None</v>
      </c>
      <c r="D17" t="str">
        <f>"rg:{'_id': '"&amp;Approvals!D17&amp;"'}"</f>
        <v>rg:{'_id': ''}</v>
      </c>
      <c r="E17" t="str">
        <f>IF(ISBLANK(Approvals!E17),"-",Approvals!E17)</f>
        <v>-</v>
      </c>
    </row>
    <row r="18" spans="1:5" x14ac:dyDescent="0.35">
      <c r="A18" t="str">
        <f>IF(ISBLANK(Approvals!A18),"-",Approvals!A18)</f>
        <v>-</v>
      </c>
      <c r="B18" t="str">
        <f>IF(ISBLANK(Approvals!B18),"-",Approvals!B18)</f>
        <v>-</v>
      </c>
      <c r="C18" t="str">
        <f ca="1">IF(ISBLANK(Approvals!C18),"rg:None",TEXT(TODAY()+Approvals!C18,"YYYY-MM-DDTHH:mm:SS.000Z"))</f>
        <v>rg:None</v>
      </c>
      <c r="D18" t="str">
        <f>"rg:{'_id': '"&amp;Approvals!D18&amp;"'}"</f>
        <v>rg:{'_id': ''}</v>
      </c>
      <c r="E18" t="str">
        <f>IF(ISBLANK(Approvals!E18),"-",Approvals!E18)</f>
        <v>-</v>
      </c>
    </row>
    <row r="19" spans="1:5" x14ac:dyDescent="0.35">
      <c r="A19" t="str">
        <f>IF(ISBLANK(Approvals!A19),"-",Approvals!A19)</f>
        <v>-</v>
      </c>
      <c r="B19" t="str">
        <f>IF(ISBLANK(Approvals!B19),"-",Approvals!B19)</f>
        <v>-</v>
      </c>
      <c r="C19" t="str">
        <f ca="1">IF(ISBLANK(Approvals!C19),"rg:None",TEXT(TODAY()+Approvals!C19,"YYYY-MM-DDTHH:mm:SS.000Z"))</f>
        <v>rg:None</v>
      </c>
      <c r="D19" t="str">
        <f>"rg:{'_id': '"&amp;Approvals!D19&amp;"'}"</f>
        <v>rg:{'_id': ''}</v>
      </c>
      <c r="E19" t="str">
        <f>IF(ISBLANK(Approvals!E19),"-",Approvals!E19)</f>
        <v>-</v>
      </c>
    </row>
    <row r="20" spans="1:5" x14ac:dyDescent="0.35">
      <c r="A20" t="str">
        <f>IF(ISBLANK(Approvals!A20),"-",Approvals!A20)</f>
        <v>-</v>
      </c>
      <c r="B20" t="str">
        <f>IF(ISBLANK(Approvals!B20),"-",Approvals!B20)</f>
        <v>-</v>
      </c>
      <c r="C20" t="str">
        <f ca="1">IF(ISBLANK(Approvals!C20),"rg:None",TEXT(TODAY()+Approvals!C20,"YYYY-MM-DDTHH:mm:SS.000Z"))</f>
        <v>rg:None</v>
      </c>
      <c r="D20" t="str">
        <f>"rg:{'_id': '"&amp;Approvals!D20&amp;"'}"</f>
        <v>rg:{'_id': ''}</v>
      </c>
      <c r="E20" t="str">
        <f>IF(ISBLANK(Approvals!E20),"-",Approvals!E20)</f>
        <v>-</v>
      </c>
    </row>
    <row r="21" spans="1:5" x14ac:dyDescent="0.35">
      <c r="A21" t="str">
        <f>IF(ISBLANK(Approvals!A21),"-",Approvals!A21)</f>
        <v>-</v>
      </c>
      <c r="B21" t="str">
        <f>IF(ISBLANK(Approvals!B21),"-",Approvals!B21)</f>
        <v>-</v>
      </c>
      <c r="C21" t="str">
        <f ca="1">IF(ISBLANK(Approvals!C21),"rg:None",TEXT(TODAY()+Approvals!C21,"YYYY-MM-DDTHH:mm:SS.000Z"))</f>
        <v>rg:None</v>
      </c>
      <c r="D21" t="str">
        <f>"rg:{'_id': '"&amp;Approvals!D21&amp;"'}"</f>
        <v>rg:{'_id': ''}</v>
      </c>
      <c r="E21" t="str">
        <f>IF(ISBLANK(Approvals!E21),"-",Approvals!E21)</f>
        <v>-</v>
      </c>
    </row>
    <row r="22" spans="1:5" x14ac:dyDescent="0.35">
      <c r="A22" t="str">
        <f>IF(ISBLANK(Approvals!A22),"-",Approvals!A22)</f>
        <v>-</v>
      </c>
      <c r="B22" t="str">
        <f>IF(ISBLANK(Approvals!B22),"-",Approvals!B22)</f>
        <v>-</v>
      </c>
      <c r="C22" t="str">
        <f ca="1">IF(ISBLANK(Approvals!C22),"rg:None",TEXT(TODAY()+Approvals!C22,"YYYY-MM-DDTHH:mm:SS.000Z"))</f>
        <v>rg:None</v>
      </c>
      <c r="D22" t="str">
        <f>"rg:{'_id': '"&amp;Approvals!D22&amp;"'}"</f>
        <v>rg:{'_id': ''}</v>
      </c>
      <c r="E22" t="str">
        <f>IF(ISBLANK(Approvals!E22),"-",Approvals!E22)</f>
        <v>-</v>
      </c>
    </row>
    <row r="23" spans="1:5" x14ac:dyDescent="0.35">
      <c r="A23" t="str">
        <f>IF(ISBLANK(Approvals!A23),"-",Approvals!A23)</f>
        <v>-</v>
      </c>
      <c r="B23" t="str">
        <f>IF(ISBLANK(Approvals!B23),"-",Approvals!B23)</f>
        <v>-</v>
      </c>
      <c r="C23" t="str">
        <f ca="1">IF(ISBLANK(Approvals!C23),"rg:None",TEXT(TODAY()+Approvals!C23,"YYYY-MM-DDTHH:mm:SS.000Z"))</f>
        <v>rg:None</v>
      </c>
      <c r="D23" t="str">
        <f>"rg:{'_id': '"&amp;Approvals!D23&amp;"'}"</f>
        <v>rg:{'_id': ''}</v>
      </c>
      <c r="E23" t="str">
        <f>IF(ISBLANK(Approvals!E23),"-",Approvals!E23)</f>
        <v>-</v>
      </c>
    </row>
    <row r="24" spans="1:5" x14ac:dyDescent="0.35">
      <c r="A24" t="str">
        <f>IF(ISBLANK(Approvals!A24),"-",Approvals!A24)</f>
        <v>-</v>
      </c>
      <c r="B24" t="str">
        <f>IF(ISBLANK(Approvals!B24),"-",Approvals!B24)</f>
        <v>-</v>
      </c>
      <c r="C24" t="str">
        <f ca="1">IF(ISBLANK(Approvals!C24),"rg:None",TEXT(TODAY()+Approvals!C24,"YYYY-MM-DDTHH:mm:SS.000Z"))</f>
        <v>rg:None</v>
      </c>
      <c r="D24" t="str">
        <f>"rg:{'_id': '"&amp;Approvals!D24&amp;"'}"</f>
        <v>rg:{'_id': ''}</v>
      </c>
      <c r="E24" t="str">
        <f>IF(ISBLANK(Approvals!E24),"-",Approvals!E24)</f>
        <v>-</v>
      </c>
    </row>
    <row r="25" spans="1:5" x14ac:dyDescent="0.35">
      <c r="A25" t="str">
        <f>IF(ISBLANK(Approvals!A25),"-",Approvals!A25)</f>
        <v>-</v>
      </c>
      <c r="B25" t="str">
        <f>IF(ISBLANK(Approvals!B25),"-",Approvals!B25)</f>
        <v>-</v>
      </c>
      <c r="C25" t="str">
        <f ca="1">IF(ISBLANK(Approvals!C25),"rg:None",TEXT(TODAY()+Approvals!C25,"YYYY-MM-DDTHH:mm:SS.000Z"))</f>
        <v>rg:None</v>
      </c>
      <c r="D25" t="str">
        <f>"rg:{'_id': '"&amp;Approvals!D25&amp;"'}"</f>
        <v>rg:{'_id': ''}</v>
      </c>
      <c r="E25" t="str">
        <f>IF(ISBLANK(Approvals!E25),"-",Approvals!E25)</f>
        <v>-</v>
      </c>
    </row>
    <row r="26" spans="1:5" x14ac:dyDescent="0.35">
      <c r="A26" t="str">
        <f>IF(ISBLANK(Approvals!A26),"-",Approvals!A26)</f>
        <v>-</v>
      </c>
      <c r="B26" t="str">
        <f>IF(ISBLANK(Approvals!B26),"-",Approvals!B26)</f>
        <v>-</v>
      </c>
      <c r="C26" t="str">
        <f ca="1">IF(ISBLANK(Approvals!C26),"rg:None",TEXT(TODAY()+Approvals!C26,"YYYY-MM-DDTHH:mm:SS.000Z"))</f>
        <v>rg:None</v>
      </c>
      <c r="D26" t="str">
        <f>"rg:{'_id': '"&amp;Approvals!D26&amp;"'}"</f>
        <v>rg:{'_id': ''}</v>
      </c>
      <c r="E26" t="str">
        <f>IF(ISBLANK(Approvals!E26),"-",Approvals!E26)</f>
        <v>-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workbookViewId="0">
      <selection activeCell="C2" sqref="C2"/>
    </sheetView>
  </sheetViews>
  <sheetFormatPr defaultRowHeight="15.5" x14ac:dyDescent="0.35"/>
  <cols>
    <col min="3" max="3" width="27" bestFit="1" customWidth="1"/>
    <col min="5" max="6" width="22.58203125" bestFit="1" customWidth="1"/>
    <col min="7" max="7" width="24.6640625" bestFit="1" customWidth="1"/>
  </cols>
  <sheetData>
    <row r="1" spans="1:7" x14ac:dyDescent="0.35">
      <c r="A1" t="s">
        <v>0</v>
      </c>
      <c r="B1" t="s">
        <v>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tr">
        <f>IF(ISBLANK(Responses!A2),"-",Responses!A2)</f>
        <v>knob-iss0002</v>
      </c>
      <c r="B2" t="str">
        <f>IF(ISBLANK(Responses!B2),"-",Responses!B2)</f>
        <v>knob-iss0002-resp0002</v>
      </c>
      <c r="C2" t="str">
        <f>"rg:{'_id': '"&amp;Responses!C2&amp;"'}"</f>
        <v>rg:{'_id': 'RandyIConrad@dayrep.com'}</v>
      </c>
      <c r="D2" t="str">
        <f>IF(ISBLANK(Responses!D2),"-",Responses!D2)</f>
        <v>Comment from a Working Group member</v>
      </c>
      <c r="E2" t="str">
        <f ca="1">IF(ISBLANK(Responses!E2),"rg:None",TEXT(TODAY()+Responses!E2,"YYYY-MM-DDTHH:mm:SS.000Z"))</f>
        <v>2014-09-14T00:00:00.000Z</v>
      </c>
      <c r="F2" t="str">
        <f ca="1">IF(ISBLANK(Responses!F2),"rg:None",TEXT(TODAY()+Responses!F2,"YYYY-MM-DDTHH:mm:SS.000Z"))</f>
        <v>2014-09-26T00:00:00.000Z</v>
      </c>
      <c r="G2" t="str">
        <f>"rg:[{'_id': '"&amp;Responses!G2&amp;"'}]"</f>
        <v>rg:[{'_id': 'projectdescription'}]</v>
      </c>
    </row>
    <row r="3" spans="1:7" x14ac:dyDescent="0.35">
      <c r="A3" t="str">
        <f>IF(ISBLANK(Responses!A3),"-",Responses!A3)</f>
        <v>knob-iss0002</v>
      </c>
      <c r="B3" t="str">
        <f>IF(ISBLANK(Responses!B3),"-",Responses!B3)</f>
        <v>knob-iss0002-resp0003</v>
      </c>
      <c r="C3" t="str">
        <f>"rg:{'_id': '"&amp;Responses!C3&amp;"'}"</f>
        <v>rg:{'_id': 'WilliamSButler@einrot.com'}</v>
      </c>
      <c r="D3" t="str">
        <f>IF(ISBLANK(Responses!D3),"-",Responses!D3)</f>
        <v>The Squamish FN would like input on this issue</v>
      </c>
      <c r="E3" t="str">
        <f ca="1">IF(ISBLANK(Responses!E3),"rg:None",TEXT(TODAY()+Responses!E3,"YYYY-MM-DDTHH:mm:SS.000Z"))</f>
        <v>2014-10-18T00:00:00.000Z</v>
      </c>
      <c r="F3" t="str">
        <f ca="1">IF(ISBLANK(Responses!F3),"rg:None",TEXT(TODAY()+Responses!F3,"YYYY-MM-DDTHH:mm:SS.000Z"))</f>
        <v>2014-11-15T00:00:00.000Z</v>
      </c>
      <c r="G3" t="str">
        <f>"rg:[{'_id': '"&amp;Responses!G3&amp;"'}]"</f>
        <v>rg:[{'_id': 'projectdescription'}]</v>
      </c>
    </row>
    <row r="4" spans="1:7" x14ac:dyDescent="0.35">
      <c r="A4" t="str">
        <f>IF(ISBLANK(Responses!A4),"-",Responses!A4)</f>
        <v>-</v>
      </c>
      <c r="B4" t="str">
        <f>IF(ISBLANK(Responses!B4),"-",Responses!B4)</f>
        <v>-</v>
      </c>
      <c r="C4" t="str">
        <f>"rg:{'_id': '"&amp;Responses!C4&amp;"'}"</f>
        <v>rg:{'_id': ''}</v>
      </c>
      <c r="D4" t="str">
        <f>IF(ISBLANK(Responses!D4),"-",Responses!D4)</f>
        <v>-</v>
      </c>
      <c r="E4" t="str">
        <f ca="1">IF(ISBLANK(Responses!E4),"rg:None",TEXT(TODAY()+Responses!E4,"YYYY-MM-DDTHH:mm:SS.000Z"))</f>
        <v>rg:None</v>
      </c>
      <c r="F4" t="str">
        <f ca="1">IF(ISBLANK(Responses!F4),"rg:None",TEXT(TODAY()+Responses!F4,"YYYY-MM-DDTHH:mm:SS.000Z"))</f>
        <v>rg:None</v>
      </c>
      <c r="G4" t="str">
        <f>"rg:[{'_id': '"&amp;Responses!G4&amp;"'}]"</f>
        <v>rg:[{'_id': ''}]</v>
      </c>
    </row>
    <row r="5" spans="1:7" x14ac:dyDescent="0.35">
      <c r="A5" t="str">
        <f>IF(ISBLANK(Responses!A5),"-",Responses!A5)</f>
        <v>-</v>
      </c>
      <c r="B5" t="str">
        <f>IF(ISBLANK(Responses!B5),"-",Responses!B5)</f>
        <v>-</v>
      </c>
      <c r="C5" t="str">
        <f>"rg:{'_id': '"&amp;Responses!C5&amp;"'}"</f>
        <v>rg:{'_id': ''}</v>
      </c>
      <c r="D5" t="str">
        <f>IF(ISBLANK(Responses!D5),"-",Responses!D5)</f>
        <v>-</v>
      </c>
      <c r="E5" t="str">
        <f ca="1">IF(ISBLANK(Responses!E5),"rg:None",TEXT(TODAY()+Responses!E5,"YYYY-MM-DDTHH:mm:SS.000Z"))</f>
        <v>rg:None</v>
      </c>
      <c r="F5" t="str">
        <f ca="1">IF(ISBLANK(Responses!F5),"rg:None",TEXT(TODAY()+Responses!F5,"YYYY-MM-DDTHH:mm:SS.000Z"))</f>
        <v>rg:None</v>
      </c>
      <c r="G5" t="str">
        <f>"rg:[{'_id': '"&amp;Responses!G5&amp;"'}]"</f>
        <v>rg:[{'_id': ''}]</v>
      </c>
    </row>
    <row r="6" spans="1:7" x14ac:dyDescent="0.35">
      <c r="A6" t="str">
        <f>IF(ISBLANK(Responses!A6),"-",Responses!A6)</f>
        <v>-</v>
      </c>
      <c r="B6" t="str">
        <f>IF(ISBLANK(Responses!B6),"-",Responses!B6)</f>
        <v>-</v>
      </c>
      <c r="C6" t="str">
        <f>"rg:{'_id': '"&amp;Responses!C6&amp;"'}"</f>
        <v>rg:{'_id': ''}</v>
      </c>
      <c r="D6" t="str">
        <f>IF(ISBLANK(Responses!D6),"-",Responses!D6)</f>
        <v>-</v>
      </c>
      <c r="E6" t="str">
        <f ca="1">IF(ISBLANK(Responses!E6),"rg:None",TEXT(TODAY()+Responses!E6,"YYYY-MM-DDTHH:mm:SS.000Z"))</f>
        <v>rg:None</v>
      </c>
      <c r="F6" t="str">
        <f ca="1">IF(ISBLANK(Responses!F6),"rg:None",TEXT(TODAY()+Responses!F6,"YYYY-MM-DDTHH:mm:SS.000Z"))</f>
        <v>rg:None</v>
      </c>
      <c r="G6" t="str">
        <f>"rg:[{'_id': '"&amp;Responses!G6&amp;"'}]"</f>
        <v>rg:[{'_id': ''}]</v>
      </c>
    </row>
    <row r="7" spans="1:7" x14ac:dyDescent="0.35">
      <c r="A7" t="str">
        <f>IF(ISBLANK(Responses!A7),"-",Responses!A7)</f>
        <v>-</v>
      </c>
      <c r="B7" t="str">
        <f>IF(ISBLANK(Responses!B7),"-",Responses!B7)</f>
        <v>-</v>
      </c>
      <c r="C7" t="str">
        <f>"rg:{'_id': '"&amp;Responses!C7&amp;"'}"</f>
        <v>rg:{'_id': ''}</v>
      </c>
      <c r="D7" t="str">
        <f>IF(ISBLANK(Responses!D7),"-",Responses!D7)</f>
        <v>-</v>
      </c>
      <c r="E7" t="str">
        <f ca="1">IF(ISBLANK(Responses!E7),"rg:None",TEXT(TODAY()+Responses!E7,"YYYY-MM-DDTHH:mm:SS.000Z"))</f>
        <v>rg:None</v>
      </c>
      <c r="F7" t="str">
        <f ca="1">IF(ISBLANK(Responses!F7),"rg:None",TEXT(TODAY()+Responses!F7,"YYYY-MM-DDTHH:mm:SS.000Z"))</f>
        <v>rg:None</v>
      </c>
      <c r="G7" t="str">
        <f>"rg:[{'_id': '"&amp;Responses!G7&amp;"'}]"</f>
        <v>rg:[{'_id': ''}]</v>
      </c>
    </row>
    <row r="8" spans="1:7" x14ac:dyDescent="0.35">
      <c r="A8" t="str">
        <f>IF(ISBLANK(Responses!A8),"-",Responses!A8)</f>
        <v>-</v>
      </c>
      <c r="B8" t="str">
        <f>IF(ISBLANK(Responses!B8),"-",Responses!B8)</f>
        <v>-</v>
      </c>
      <c r="C8" t="str">
        <f>"rg:{'_id': '"&amp;Responses!C8&amp;"'}"</f>
        <v>rg:{'_id': ''}</v>
      </c>
      <c r="D8" t="str">
        <f>IF(ISBLANK(Responses!D8),"-",Responses!D8)</f>
        <v>-</v>
      </c>
      <c r="E8" t="str">
        <f ca="1">IF(ISBLANK(Responses!E8),"rg:None",TEXT(TODAY()+Responses!E8,"YYYY-MM-DDTHH:mm:SS.000Z"))</f>
        <v>rg:None</v>
      </c>
      <c r="F8" t="str">
        <f ca="1">IF(ISBLANK(Responses!F8),"rg:None",TEXT(TODAY()+Responses!F8,"YYYY-MM-DDTHH:mm:SS.000Z"))</f>
        <v>rg:None</v>
      </c>
      <c r="G8" t="str">
        <f>"rg:[{'_id': '"&amp;Responses!G8&amp;"'}]"</f>
        <v>rg:[{'_id': ''}]</v>
      </c>
    </row>
    <row r="9" spans="1:7" x14ac:dyDescent="0.35">
      <c r="A9" t="str">
        <f>IF(ISBLANK(Responses!A9),"-",Responses!A9)</f>
        <v>-</v>
      </c>
      <c r="B9" t="str">
        <f>IF(ISBLANK(Responses!B9),"-",Responses!B9)</f>
        <v>-</v>
      </c>
      <c r="C9" t="str">
        <f>"rg:{'_id': '"&amp;Responses!C9&amp;"'}"</f>
        <v>rg:{'_id': ''}</v>
      </c>
      <c r="D9" t="str">
        <f>IF(ISBLANK(Responses!D9),"-",Responses!D9)</f>
        <v>-</v>
      </c>
      <c r="E9" t="str">
        <f ca="1">IF(ISBLANK(Responses!E9),"rg:None",TEXT(TODAY()+Responses!E9,"YYYY-MM-DDTHH:mm:SS.000Z"))</f>
        <v>rg:None</v>
      </c>
      <c r="F9" t="str">
        <f ca="1">IF(ISBLANK(Responses!F9),"rg:None",TEXT(TODAY()+Responses!F9,"YYYY-MM-DDTHH:mm:SS.000Z"))</f>
        <v>rg:None</v>
      </c>
      <c r="G9" t="str">
        <f>"rg:[{'_id': '"&amp;Responses!G9&amp;"'}]"</f>
        <v>rg:[{'_id': ''}]</v>
      </c>
    </row>
    <row r="10" spans="1:7" x14ac:dyDescent="0.35">
      <c r="A10" t="str">
        <f>IF(ISBLANK(Responses!A10),"-",Responses!A10)</f>
        <v>-</v>
      </c>
      <c r="B10" t="str">
        <f>IF(ISBLANK(Responses!B10),"-",Responses!B10)</f>
        <v>-</v>
      </c>
      <c r="C10" t="str">
        <f>"rg:{'_id': '"&amp;Responses!C10&amp;"'}"</f>
        <v>rg:{'_id': ''}</v>
      </c>
      <c r="D10" t="str">
        <f>IF(ISBLANK(Responses!D10),"-",Responses!D10)</f>
        <v>-</v>
      </c>
      <c r="E10" t="str">
        <f ca="1">IF(ISBLANK(Responses!E10),"rg:None",TEXT(TODAY()+Responses!E10,"YYYY-MM-DDTHH:mm:SS.000Z"))</f>
        <v>rg:None</v>
      </c>
      <c r="F10" t="str">
        <f ca="1">IF(ISBLANK(Responses!F10),"rg:None",TEXT(TODAY()+Responses!F10,"YYYY-MM-DDTHH:mm:SS.000Z"))</f>
        <v>rg:None</v>
      </c>
      <c r="G10" t="str">
        <f>"rg:[{'_id': '"&amp;Responses!G10&amp;"'}]"</f>
        <v>rg:[{'_id': ''}]</v>
      </c>
    </row>
    <row r="11" spans="1:7" x14ac:dyDescent="0.35">
      <c r="A11" t="str">
        <f>IF(ISBLANK(Responses!A11),"-",Responses!A11)</f>
        <v>-</v>
      </c>
      <c r="B11" t="str">
        <f>IF(ISBLANK(Responses!B11),"-",Responses!B11)</f>
        <v>-</v>
      </c>
      <c r="C11" t="str">
        <f>"rg:{'_id': '"&amp;Responses!C11&amp;"'}"</f>
        <v>rg:{'_id': ''}</v>
      </c>
      <c r="D11" t="str">
        <f>IF(ISBLANK(Responses!D11),"-",Responses!D11)</f>
        <v>-</v>
      </c>
      <c r="E11" t="str">
        <f ca="1">IF(ISBLANK(Responses!E11),"rg:None",TEXT(TODAY()+Responses!E11,"YYYY-MM-DDTHH:mm:SS.000Z"))</f>
        <v>rg:None</v>
      </c>
      <c r="F11" t="str">
        <f ca="1">IF(ISBLANK(Responses!F11),"rg:None",TEXT(TODAY()+Responses!F11,"YYYY-MM-DDTHH:mm:SS.000Z"))</f>
        <v>rg:None</v>
      </c>
      <c r="G11" t="str">
        <f>"rg:[{'_id': '"&amp;Responses!G11&amp;"'}]"</f>
        <v>rg:[{'_id': ''}]</v>
      </c>
    </row>
    <row r="12" spans="1:7" x14ac:dyDescent="0.35">
      <c r="A12" t="str">
        <f>IF(ISBLANK(Responses!A12),"-",Responses!A12)</f>
        <v>-</v>
      </c>
      <c r="B12" t="str">
        <f>IF(ISBLANK(Responses!B12),"-",Responses!B12)</f>
        <v>-</v>
      </c>
      <c r="C12" t="str">
        <f>"rg:{'_id': '"&amp;Responses!C12&amp;"'}"</f>
        <v>rg:{'_id': ''}</v>
      </c>
      <c r="D12" t="str">
        <f>IF(ISBLANK(Responses!D12),"-",Responses!D12)</f>
        <v>-</v>
      </c>
      <c r="E12" t="str">
        <f ca="1">IF(ISBLANK(Responses!E12),"rg:None",TEXT(TODAY()+Responses!E12,"YYYY-MM-DDTHH:mm:SS.000Z"))</f>
        <v>rg:None</v>
      </c>
      <c r="F12" t="str">
        <f ca="1">IF(ISBLANK(Responses!F12),"rg:None",TEXT(TODAY()+Responses!F12,"YYYY-MM-DDTHH:mm:SS.000Z"))</f>
        <v>rg:None</v>
      </c>
      <c r="G12" t="str">
        <f>"rg:[{'_id': '"&amp;Responses!G12&amp;"'}]"</f>
        <v>rg:[{'_id': ''}]</v>
      </c>
    </row>
    <row r="13" spans="1:7" x14ac:dyDescent="0.35">
      <c r="A13" t="str">
        <f>IF(ISBLANK(Responses!A13),"-",Responses!A13)</f>
        <v>-</v>
      </c>
      <c r="B13" t="str">
        <f>IF(ISBLANK(Responses!B13),"-",Responses!B13)</f>
        <v>-</v>
      </c>
      <c r="C13" t="str">
        <f>"rg:{'_id': '"&amp;Responses!C13&amp;"'}"</f>
        <v>rg:{'_id': ''}</v>
      </c>
      <c r="D13" t="str">
        <f>IF(ISBLANK(Responses!D13),"-",Responses!D13)</f>
        <v>-</v>
      </c>
      <c r="E13" t="str">
        <f ca="1">IF(ISBLANK(Responses!E13),"rg:None",TEXT(TODAY()+Responses!E13,"YYYY-MM-DDTHH:mm:SS.000Z"))</f>
        <v>rg:None</v>
      </c>
      <c r="F13" t="str">
        <f ca="1">IF(ISBLANK(Responses!F13),"rg:None",TEXT(TODAY()+Responses!F13,"YYYY-MM-DDTHH:mm:SS.000Z"))</f>
        <v>rg:None</v>
      </c>
      <c r="G13" t="str">
        <f>"rg:[{'_id': '"&amp;Responses!G13&amp;"'}]"</f>
        <v>rg:[{'_id': ''}]</v>
      </c>
    </row>
    <row r="14" spans="1:7" x14ac:dyDescent="0.35">
      <c r="A14" t="str">
        <f>IF(ISBLANK(Responses!A14),"-",Responses!A14)</f>
        <v>-</v>
      </c>
      <c r="B14" t="str">
        <f>IF(ISBLANK(Responses!B14),"-",Responses!B14)</f>
        <v>-</v>
      </c>
      <c r="C14" t="str">
        <f>"rg:{'_id': '"&amp;Responses!C14&amp;"'}"</f>
        <v>rg:{'_id': ''}</v>
      </c>
      <c r="D14" t="str">
        <f>IF(ISBLANK(Responses!D14),"-",Responses!D14)</f>
        <v>-</v>
      </c>
      <c r="E14" t="str">
        <f ca="1">IF(ISBLANK(Responses!E14),"rg:None",TEXT(TODAY()+Responses!E14,"YYYY-MM-DDTHH:mm:SS.000Z"))</f>
        <v>rg:None</v>
      </c>
      <c r="F14" t="str">
        <f ca="1">IF(ISBLANK(Responses!F14),"rg:None",TEXT(TODAY()+Responses!F14,"YYYY-MM-DDTHH:mm:SS.000Z"))</f>
        <v>rg:None</v>
      </c>
      <c r="G14" t="str">
        <f>"rg:[{'_id': '"&amp;Responses!G14&amp;"'}]"</f>
        <v>rg:[{'_id': ''}]</v>
      </c>
    </row>
    <row r="15" spans="1:7" x14ac:dyDescent="0.35">
      <c r="A15" t="str">
        <f>IF(ISBLANK(Responses!A15),"-",Responses!A15)</f>
        <v>-</v>
      </c>
      <c r="B15" t="str">
        <f>IF(ISBLANK(Responses!B15),"-",Responses!B15)</f>
        <v>-</v>
      </c>
      <c r="C15" t="str">
        <f>"rg:{'_id': '"&amp;Responses!C15&amp;"'}"</f>
        <v>rg:{'_id': ''}</v>
      </c>
      <c r="D15" t="str">
        <f>IF(ISBLANK(Responses!D15),"-",Responses!D15)</f>
        <v>-</v>
      </c>
      <c r="E15" t="str">
        <f ca="1">IF(ISBLANK(Responses!E15),"rg:None",TEXT(TODAY()+Responses!E15,"YYYY-MM-DDTHH:mm:SS.000Z"))</f>
        <v>rg:None</v>
      </c>
      <c r="F15" t="str">
        <f ca="1">IF(ISBLANK(Responses!F15),"rg:None",TEXT(TODAY()+Responses!F15,"YYYY-MM-DDTHH:mm:SS.000Z"))</f>
        <v>rg:None</v>
      </c>
      <c r="G15" t="str">
        <f>"rg:[{'_id': '"&amp;Responses!G15&amp;"'}]"</f>
        <v>rg:[{'_id': ''}]</v>
      </c>
    </row>
    <row r="16" spans="1:7" x14ac:dyDescent="0.35">
      <c r="A16" t="str">
        <f>IF(ISBLANK(Responses!A16),"-",Responses!A16)</f>
        <v>-</v>
      </c>
      <c r="B16" t="str">
        <f>IF(ISBLANK(Responses!B16),"-",Responses!B16)</f>
        <v>-</v>
      </c>
      <c r="C16" t="str">
        <f>"rg:{'_id': '"&amp;Responses!C16&amp;"'}"</f>
        <v>rg:{'_id': ''}</v>
      </c>
      <c r="D16" t="str">
        <f>IF(ISBLANK(Responses!D16),"-",Responses!D16)</f>
        <v>-</v>
      </c>
      <c r="E16" t="str">
        <f ca="1">IF(ISBLANK(Responses!E16),"rg:None",TEXT(TODAY()+Responses!E16,"YYYY-MM-DDTHH:mm:SS.000Z"))</f>
        <v>rg:None</v>
      </c>
      <c r="F16" t="str">
        <f ca="1">IF(ISBLANK(Responses!F16),"rg:None",TEXT(TODAY()+Responses!F16,"YYYY-MM-DDTHH:mm:SS.000Z"))</f>
        <v>rg:None</v>
      </c>
      <c r="G16" t="str">
        <f>"rg:[{'_id': '"&amp;Responses!G16&amp;"'}]"</f>
        <v>rg:[{'_id': ''}]</v>
      </c>
    </row>
    <row r="17" spans="1:7" x14ac:dyDescent="0.35">
      <c r="A17" t="str">
        <f>IF(ISBLANK(Responses!A17),"-",Responses!A17)</f>
        <v>-</v>
      </c>
      <c r="B17" t="str">
        <f>IF(ISBLANK(Responses!B17),"-",Responses!B17)</f>
        <v>-</v>
      </c>
      <c r="C17" t="str">
        <f>"rg:{'_id': '"&amp;Responses!C17&amp;"'}"</f>
        <v>rg:{'_id': ''}</v>
      </c>
      <c r="D17" t="str">
        <f>IF(ISBLANK(Responses!D17),"-",Responses!D17)</f>
        <v>-</v>
      </c>
      <c r="E17" t="str">
        <f ca="1">IF(ISBLANK(Responses!E17),"rg:None",TEXT(TODAY()+Responses!E17,"YYYY-MM-DDTHH:mm:SS.000Z"))</f>
        <v>rg:None</v>
      </c>
      <c r="F17" t="str">
        <f ca="1">IF(ISBLANK(Responses!F17),"rg:None",TEXT(TODAY()+Responses!F17,"YYYY-MM-DDTHH:mm:SS.000Z"))</f>
        <v>rg:None</v>
      </c>
      <c r="G17" t="str">
        <f>"rg:[{'_id': '"&amp;Responses!G17&amp;"'}]"</f>
        <v>rg:[{'_id': ''}]</v>
      </c>
    </row>
    <row r="18" spans="1:7" x14ac:dyDescent="0.35">
      <c r="A18" t="str">
        <f>IF(ISBLANK(Responses!A18),"-",Responses!A18)</f>
        <v>-</v>
      </c>
      <c r="B18" t="str">
        <f>IF(ISBLANK(Responses!B18),"-",Responses!B18)</f>
        <v>-</v>
      </c>
      <c r="C18" t="str">
        <f>"rg:{'_id': '"&amp;Responses!C18&amp;"'}"</f>
        <v>rg:{'_id': ''}</v>
      </c>
      <c r="D18" t="str">
        <f>IF(ISBLANK(Responses!D18),"-",Responses!D18)</f>
        <v>-</v>
      </c>
      <c r="E18" t="str">
        <f ca="1">IF(ISBLANK(Responses!E18),"rg:None",TEXT(TODAY()+Responses!E18,"YYYY-MM-DDTHH:mm:SS.000Z"))</f>
        <v>rg:None</v>
      </c>
      <c r="F18" t="str">
        <f ca="1">IF(ISBLANK(Responses!F18),"rg:None",TEXT(TODAY()+Responses!F18,"YYYY-MM-DDTHH:mm:SS.000Z"))</f>
        <v>rg:None</v>
      </c>
      <c r="G18" t="str">
        <f>"rg:[{'_id': '"&amp;Responses!G18&amp;"'}]"</f>
        <v>rg:[{'_id': ''}]</v>
      </c>
    </row>
    <row r="19" spans="1:7" x14ac:dyDescent="0.35">
      <c r="A19" t="str">
        <f>IF(ISBLANK(Responses!A19),"-",Responses!A19)</f>
        <v>-</v>
      </c>
      <c r="B19" t="str">
        <f>IF(ISBLANK(Responses!B19),"-",Responses!B19)</f>
        <v>-</v>
      </c>
      <c r="C19" t="str">
        <f>"rg:{'_id': '"&amp;Responses!C19&amp;"'}"</f>
        <v>rg:{'_id': ''}</v>
      </c>
      <c r="D19" t="str">
        <f>IF(ISBLANK(Responses!D19),"-",Responses!D19)</f>
        <v>-</v>
      </c>
      <c r="E19" t="str">
        <f ca="1">IF(ISBLANK(Responses!E19),"rg:None",TEXT(TODAY()+Responses!E19,"YYYY-MM-DDTHH:mm:SS.000Z"))</f>
        <v>rg:None</v>
      </c>
      <c r="F19" t="str">
        <f ca="1">IF(ISBLANK(Responses!F19),"rg:None",TEXT(TODAY()+Responses!F19,"YYYY-MM-DDTHH:mm:SS.000Z"))</f>
        <v>rg:None</v>
      </c>
      <c r="G19" t="str">
        <f>"rg:[{'_id': '"&amp;Responses!G19&amp;"'}]"</f>
        <v>rg:[{'_id': ''}]</v>
      </c>
    </row>
    <row r="20" spans="1:7" x14ac:dyDescent="0.35">
      <c r="A20" t="str">
        <f>IF(ISBLANK(Responses!A20),"-",Responses!A20)</f>
        <v>-</v>
      </c>
      <c r="B20" t="str">
        <f>IF(ISBLANK(Responses!B20),"-",Responses!B20)</f>
        <v>-</v>
      </c>
      <c r="C20" t="str">
        <f>"rg:{'_id': '"&amp;Responses!C20&amp;"'}"</f>
        <v>rg:{'_id': ''}</v>
      </c>
      <c r="D20" t="str">
        <f>IF(ISBLANK(Responses!D20),"-",Responses!D20)</f>
        <v>-</v>
      </c>
      <c r="E20" t="str">
        <f ca="1">IF(ISBLANK(Responses!E20),"rg:None",TEXT(TODAY()+Responses!E20,"YYYY-MM-DDTHH:mm:SS.000Z"))</f>
        <v>rg:None</v>
      </c>
      <c r="F20" t="str">
        <f ca="1">IF(ISBLANK(Responses!F20),"rg:None",TEXT(TODAY()+Responses!F20,"YYYY-MM-DDTHH:mm:SS.000Z"))</f>
        <v>rg:None</v>
      </c>
      <c r="G20" t="str">
        <f>"rg:[{'_id': '"&amp;Responses!G20&amp;"'}]"</f>
        <v>rg:[{'_id': ''}]</v>
      </c>
    </row>
    <row r="21" spans="1:7" x14ac:dyDescent="0.35">
      <c r="A21" t="str">
        <f>IF(ISBLANK(Responses!A21),"-",Responses!A21)</f>
        <v>-</v>
      </c>
      <c r="B21" t="str">
        <f>IF(ISBLANK(Responses!B21),"-",Responses!B21)</f>
        <v>-</v>
      </c>
      <c r="C21" t="str">
        <f>"rg:{'_id': '"&amp;Responses!C21&amp;"'}"</f>
        <v>rg:{'_id': ''}</v>
      </c>
      <c r="D21" t="str">
        <f>IF(ISBLANK(Responses!D21),"-",Responses!D21)</f>
        <v>-</v>
      </c>
      <c r="E21" t="str">
        <f ca="1">IF(ISBLANK(Responses!E21),"rg:None",TEXT(TODAY()+Responses!E21,"YYYY-MM-DDTHH:mm:SS.000Z"))</f>
        <v>rg:None</v>
      </c>
      <c r="F21" t="str">
        <f ca="1">IF(ISBLANK(Responses!F21),"rg:None",TEXT(TODAY()+Responses!F21,"YYYY-MM-DDTHH:mm:SS.000Z"))</f>
        <v>rg:None</v>
      </c>
      <c r="G21" t="str">
        <f>"rg:[{'_id': '"&amp;Responses!G21&amp;"'}]"</f>
        <v>rg:[{'_id': ''}]</v>
      </c>
    </row>
    <row r="22" spans="1:7" x14ac:dyDescent="0.35">
      <c r="A22" t="str">
        <f>IF(ISBLANK(Responses!A22),"-",Responses!A22)</f>
        <v>-</v>
      </c>
      <c r="B22" t="str">
        <f>IF(ISBLANK(Responses!B22),"-",Responses!B22)</f>
        <v>-</v>
      </c>
      <c r="C22" t="str">
        <f>"rg:{'_id': '"&amp;Responses!C22&amp;"'}"</f>
        <v>rg:{'_id': ''}</v>
      </c>
      <c r="D22" t="str">
        <f>IF(ISBLANK(Responses!D22),"-",Responses!D22)</f>
        <v>-</v>
      </c>
      <c r="E22" t="str">
        <f ca="1">IF(ISBLANK(Responses!E22),"rg:None",TEXT(TODAY()+Responses!E22,"YYYY-MM-DDTHH:mm:SS.000Z"))</f>
        <v>rg:None</v>
      </c>
      <c r="F22" t="str">
        <f ca="1">IF(ISBLANK(Responses!F22),"rg:None",TEXT(TODAY()+Responses!F22,"YYYY-MM-DDTHH:mm:SS.000Z"))</f>
        <v>rg:None</v>
      </c>
      <c r="G22" t="str">
        <f>"rg:[{'_id': '"&amp;Responses!G22&amp;"'}]"</f>
        <v>rg:[{'_id': ''}]</v>
      </c>
    </row>
    <row r="23" spans="1:7" x14ac:dyDescent="0.35">
      <c r="A23" t="str">
        <f>IF(ISBLANK(Responses!A23),"-",Responses!A23)</f>
        <v>-</v>
      </c>
      <c r="B23" t="str">
        <f>IF(ISBLANK(Responses!B23),"-",Responses!B23)</f>
        <v>-</v>
      </c>
      <c r="C23" t="str">
        <f>"rg:{'_id': '"&amp;Responses!C23&amp;"'}"</f>
        <v>rg:{'_id': ''}</v>
      </c>
      <c r="D23" t="str">
        <f>IF(ISBLANK(Responses!D23),"-",Responses!D23)</f>
        <v>-</v>
      </c>
      <c r="E23" t="str">
        <f ca="1">IF(ISBLANK(Responses!E23),"rg:None",TEXT(TODAY()+Responses!E23,"YYYY-MM-DDTHH:mm:SS.000Z"))</f>
        <v>rg:None</v>
      </c>
      <c r="F23" t="str">
        <f ca="1">IF(ISBLANK(Responses!F23),"rg:None",TEXT(TODAY()+Responses!F23,"YYYY-MM-DDTHH:mm:SS.000Z"))</f>
        <v>rg:None</v>
      </c>
      <c r="G23" t="str">
        <f>"rg:[{'_id': '"&amp;Responses!G23&amp;"'}]"</f>
        <v>rg:[{'_id': ''}]</v>
      </c>
    </row>
    <row r="24" spans="1:7" x14ac:dyDescent="0.35">
      <c r="A24" t="str">
        <f>IF(ISBLANK(Responses!A24),"-",Responses!A24)</f>
        <v>-</v>
      </c>
      <c r="B24" t="str">
        <f>IF(ISBLANK(Responses!B24),"-",Responses!B24)</f>
        <v>-</v>
      </c>
      <c r="C24" t="str">
        <f>"rg:{'_id': '"&amp;Responses!C24&amp;"'}"</f>
        <v>rg:{'_id': ''}</v>
      </c>
      <c r="D24" t="str">
        <f>IF(ISBLANK(Responses!D24),"-",Responses!D24)</f>
        <v>-</v>
      </c>
      <c r="E24" t="str">
        <f ca="1">IF(ISBLANK(Responses!E24),"rg:None",TEXT(TODAY()+Responses!E24,"YYYY-MM-DDTHH:mm:SS.000Z"))</f>
        <v>rg:None</v>
      </c>
      <c r="F24" t="str">
        <f ca="1">IF(ISBLANK(Responses!F24),"rg:None",TEXT(TODAY()+Responses!F24,"YYYY-MM-DDTHH:mm:SS.000Z"))</f>
        <v>rg:None</v>
      </c>
      <c r="G24" t="str">
        <f>"rg:[{'_id': '"&amp;Responses!G24&amp;"'}]"</f>
        <v>rg:[{'_id': ''}]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"/>
  <sheetViews>
    <sheetView workbookViewId="0">
      <selection activeCell="K2" sqref="K2:K10"/>
    </sheetView>
  </sheetViews>
  <sheetFormatPr defaultRowHeight="15.5" x14ac:dyDescent="0.35"/>
  <cols>
    <col min="2" max="2" width="11.5" bestFit="1" customWidth="1"/>
    <col min="10" max="10" width="14.75" bestFit="1" customWidth="1"/>
  </cols>
  <sheetData>
    <row r="1" spans="1:11" x14ac:dyDescent="0.35">
      <c r="A1" t="s">
        <v>0</v>
      </c>
      <c r="B1" t="s">
        <v>1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143</v>
      </c>
    </row>
    <row r="2" spans="1:11" x14ac:dyDescent="0.35">
      <c r="A2" t="str">
        <f>IF(ISBLANK(Issues!A2),"-",Issues!A2)</f>
        <v>knob</v>
      </c>
      <c r="B2" t="str">
        <f>IF(ISBLANK(Issues!B2),"-",Issues!B2)</f>
        <v>knob-iss0002</v>
      </c>
      <c r="C2" t="str">
        <f>IF(ISBLANK(Issues!C2),"-",Issues!C2)</f>
        <v>Bridge over Swansea River</v>
      </c>
      <c r="D2" t="str">
        <f>IF(ISBLANK(Issues!D2),"rg:[]","rg:dataset('bucketgroup.csv', '"&amp;Issues!D2&amp;"')")</f>
        <v>rg:[]</v>
      </c>
      <c r="E2" t="str">
        <f>"rg:[{'_id': '"&amp;Issues!E2&amp;"'}]"</f>
        <v>rg:[{'_id': 'LiliLNorrell@fleckens.hu'}]</v>
      </c>
      <c r="F2" t="str">
        <f ca="1">IF(ISBLANK(Issues!F2),"rg:None",TEXT(TODAY()+Issues!F2,"YYYY-MM-DDTHH:mm:SS.000Z"))</f>
        <v>2014-09-03T00:00:00.000Z</v>
      </c>
      <c r="G2" t="str">
        <f>"rg:[]"</f>
        <v>rg:[]</v>
      </c>
      <c r="H2" t="str">
        <f>IF(ISBLANK(Issues!H2),"-",Issues!H2)</f>
        <v>open</v>
      </c>
      <c r="I2">
        <f>IF(ISBLANK(Issues!I2),"-",Issues!I2)</f>
        <v>1</v>
      </c>
      <c r="J2" t="str">
        <f>IF(ISBLANK(Issues!J2),"-",Issues!J2)</f>
        <v>knobcomments</v>
      </c>
      <c r="K2" t="str">
        <f>IF(B2 = "-", "rg:[]", "rg:dataset('responses.csv','"&amp;B2&amp;"')")</f>
        <v>rg:dataset('responses.csv','knob-iss0002')</v>
      </c>
    </row>
    <row r="3" spans="1:11" x14ac:dyDescent="0.35">
      <c r="A3" t="str">
        <f>IF(ISBLANK(Issues!A3),"-",Issues!A3)</f>
        <v>-</v>
      </c>
      <c r="B3" t="str">
        <f>IF(ISBLANK(Issues!B3),"-",Issues!B3)</f>
        <v>-</v>
      </c>
      <c r="C3" t="str">
        <f>IF(ISBLANK(Issues!C3),"-",Issues!C3)</f>
        <v>-</v>
      </c>
      <c r="D3" t="str">
        <f>IF(ISBLANK(Issues!D3),"rg:[]","rg:dataset('bucketgroup.csv', '"&amp;Issues!D3&amp;"')")</f>
        <v>rg:[]</v>
      </c>
      <c r="E3" t="str">
        <f>"rg:[{'_id': '"&amp;Issues!E3&amp;"'}]"</f>
        <v>rg:[{'_id': ''}]</v>
      </c>
      <c r="F3" t="str">
        <f ca="1">IF(ISBLANK(Issues!F3),"rg:None",TEXT(TODAY()+Issues!F3,"YYYY-MM-DDTHH:mm:SS.000Z"))</f>
        <v>rg:None</v>
      </c>
      <c r="G3" t="str">
        <f t="shared" ref="G3:G10" si="0">"rg:[]"</f>
        <v>rg:[]</v>
      </c>
      <c r="H3" t="str">
        <f>IF(ISBLANK(Issues!H3),"-",Issues!H3)</f>
        <v>-</v>
      </c>
      <c r="I3" t="str">
        <f>IF(ISBLANK(Issues!I3),"-",Issues!I3)</f>
        <v>-</v>
      </c>
      <c r="J3" t="str">
        <f>IF(ISBLANK(Issues!J3),"-",Issues!J3)</f>
        <v>-</v>
      </c>
      <c r="K3" t="str">
        <f t="shared" ref="K3:K10" si="1">IF(B3 = "-", "rg:[]", "rg:dataset('responses.csv','"&amp;B3&amp;"')")</f>
        <v>rg:[]</v>
      </c>
    </row>
    <row r="4" spans="1:11" x14ac:dyDescent="0.35">
      <c r="A4" t="str">
        <f>IF(ISBLANK(Issues!A4),"-",Issues!A4)</f>
        <v>-</v>
      </c>
      <c r="B4" t="str">
        <f>IF(ISBLANK(Issues!B4),"-",Issues!B4)</f>
        <v>-</v>
      </c>
      <c r="C4" t="str">
        <f>IF(ISBLANK(Issues!C4),"-",Issues!C4)</f>
        <v>-</v>
      </c>
      <c r="D4" t="str">
        <f>IF(ISBLANK(Issues!D4),"rg:[]","rg:dataset('bucketgroup.csv', '"&amp;Issues!D4&amp;"')")</f>
        <v>rg:[]</v>
      </c>
      <c r="E4" t="str">
        <f>"rg:[{'_id': '"&amp;Issues!E4&amp;"'}]"</f>
        <v>rg:[{'_id': ''}]</v>
      </c>
      <c r="F4" t="str">
        <f ca="1">IF(ISBLANK(Issues!F4),"rg:None",TEXT(TODAY()+Issues!F4,"YYYY-MM-DDTHH:mm:SS.000Z"))</f>
        <v>rg:None</v>
      </c>
      <c r="G4" t="str">
        <f t="shared" si="0"/>
        <v>rg:[]</v>
      </c>
      <c r="H4" t="str">
        <f>IF(ISBLANK(Issues!H4),"-",Issues!H4)</f>
        <v>-</v>
      </c>
      <c r="I4" t="str">
        <f>IF(ISBLANK(Issues!I4),"-",Issues!I4)</f>
        <v>-</v>
      </c>
      <c r="J4" t="str">
        <f>IF(ISBLANK(Issues!J4),"-",Issues!J4)</f>
        <v>-</v>
      </c>
      <c r="K4" t="str">
        <f t="shared" si="1"/>
        <v>rg:[]</v>
      </c>
    </row>
    <row r="5" spans="1:11" x14ac:dyDescent="0.35">
      <c r="A5" t="str">
        <f>IF(ISBLANK(Issues!A5),"-",Issues!A5)</f>
        <v>-</v>
      </c>
      <c r="B5" t="str">
        <f>IF(ISBLANK(Issues!B5),"-",Issues!B5)</f>
        <v>-</v>
      </c>
      <c r="C5" t="str">
        <f>IF(ISBLANK(Issues!C5),"-",Issues!C5)</f>
        <v>-</v>
      </c>
      <c r="D5" t="str">
        <f>IF(ISBLANK(Issues!D5),"rg:[]","rg:dataset('bucketgroup.csv', '"&amp;Issues!D5&amp;"')")</f>
        <v>rg:[]</v>
      </c>
      <c r="E5" t="str">
        <f>"rg:[{'_id': '"&amp;Issues!E5&amp;"'}]"</f>
        <v>rg:[{'_id': ''}]</v>
      </c>
      <c r="F5" t="str">
        <f ca="1">IF(ISBLANK(Issues!F5),"rg:None",TEXT(TODAY()+Issues!F5,"YYYY-MM-DDTHH:mm:SS.000Z"))</f>
        <v>rg:None</v>
      </c>
      <c r="G5" t="str">
        <f t="shared" si="0"/>
        <v>rg:[]</v>
      </c>
      <c r="H5" t="str">
        <f>IF(ISBLANK(Issues!H5),"-",Issues!H5)</f>
        <v>-</v>
      </c>
      <c r="I5" t="str">
        <f>IF(ISBLANK(Issues!I5),"-",Issues!I5)</f>
        <v>-</v>
      </c>
      <c r="J5" t="str">
        <f>IF(ISBLANK(Issues!J5),"-",Issues!J5)</f>
        <v>-</v>
      </c>
      <c r="K5" t="str">
        <f t="shared" si="1"/>
        <v>rg:[]</v>
      </c>
    </row>
    <row r="6" spans="1:11" x14ac:dyDescent="0.35">
      <c r="A6" t="str">
        <f>IF(ISBLANK(Issues!A6),"-",Issues!A6)</f>
        <v>-</v>
      </c>
      <c r="B6" t="str">
        <f>IF(ISBLANK(Issues!B6),"-",Issues!B6)</f>
        <v>-</v>
      </c>
      <c r="C6" t="str">
        <f>IF(ISBLANK(Issues!C6),"-",Issues!C6)</f>
        <v>-</v>
      </c>
      <c r="D6" t="str">
        <f>IF(ISBLANK(Issues!D6),"rg:[]","rg:dataset('bucketgroup.csv', '"&amp;Issues!D6&amp;"')")</f>
        <v>rg:[]</v>
      </c>
      <c r="E6" t="str">
        <f>"rg:[{'_id': '"&amp;Issues!E6&amp;"'}]"</f>
        <v>rg:[{'_id': ''}]</v>
      </c>
      <c r="F6" t="str">
        <f ca="1">IF(ISBLANK(Issues!F6),"rg:None",TEXT(TODAY()+Issues!F6,"YYYY-MM-DDTHH:mm:SS.000Z"))</f>
        <v>rg:None</v>
      </c>
      <c r="G6" t="str">
        <f t="shared" si="0"/>
        <v>rg:[]</v>
      </c>
      <c r="H6" t="str">
        <f>IF(ISBLANK(Issues!H6),"-",Issues!H6)</f>
        <v>-</v>
      </c>
      <c r="I6" t="str">
        <f>IF(ISBLANK(Issues!I6),"-",Issues!I6)</f>
        <v>-</v>
      </c>
      <c r="J6" t="str">
        <f>IF(ISBLANK(Issues!J6),"-",Issues!J6)</f>
        <v>-</v>
      </c>
      <c r="K6" t="str">
        <f t="shared" si="1"/>
        <v>rg:[]</v>
      </c>
    </row>
    <row r="7" spans="1:11" x14ac:dyDescent="0.35">
      <c r="A7" t="str">
        <f>IF(ISBLANK(Issues!A7),"-",Issues!A7)</f>
        <v>-</v>
      </c>
      <c r="B7" t="str">
        <f>IF(ISBLANK(Issues!B7),"-",Issues!B7)</f>
        <v>-</v>
      </c>
      <c r="C7" t="str">
        <f>IF(ISBLANK(Issues!C7),"-",Issues!C7)</f>
        <v>-</v>
      </c>
      <c r="D7" t="str">
        <f>IF(ISBLANK(Issues!D7),"rg:[]","rg:dataset('bucketgroup.csv', '"&amp;Issues!D7&amp;"')")</f>
        <v>rg:[]</v>
      </c>
      <c r="E7" t="str">
        <f>"rg:[{'_id': '"&amp;Issues!E7&amp;"'}]"</f>
        <v>rg:[{'_id': ''}]</v>
      </c>
      <c r="F7" t="str">
        <f ca="1">IF(ISBLANK(Issues!F7),"rg:None",TEXT(TODAY()+Issues!F7,"YYYY-MM-DDTHH:mm:SS.000Z"))</f>
        <v>rg:None</v>
      </c>
      <c r="G7" t="str">
        <f t="shared" si="0"/>
        <v>rg:[]</v>
      </c>
      <c r="H7" t="str">
        <f>IF(ISBLANK(Issues!H7),"-",Issues!H7)</f>
        <v>-</v>
      </c>
      <c r="I7" t="str">
        <f>IF(ISBLANK(Issues!I7),"-",Issues!I7)</f>
        <v>-</v>
      </c>
      <c r="J7" t="str">
        <f>IF(ISBLANK(Issues!J7),"-",Issues!J7)</f>
        <v>-</v>
      </c>
      <c r="K7" t="str">
        <f t="shared" si="1"/>
        <v>rg:[]</v>
      </c>
    </row>
    <row r="8" spans="1:11" x14ac:dyDescent="0.35">
      <c r="A8" t="str">
        <f>IF(ISBLANK(Issues!A8),"-",Issues!A8)</f>
        <v>-</v>
      </c>
      <c r="B8" t="str">
        <f>IF(ISBLANK(Issues!B8),"-",Issues!B8)</f>
        <v>-</v>
      </c>
      <c r="C8" t="str">
        <f>IF(ISBLANK(Issues!C8),"-",Issues!C8)</f>
        <v>-</v>
      </c>
      <c r="D8" t="str">
        <f>IF(ISBLANK(Issues!D8),"rg:[]","rg:dataset('bucketgroup.csv', '"&amp;Issues!D8&amp;"')")</f>
        <v>rg:[]</v>
      </c>
      <c r="E8" t="str">
        <f>"rg:[{'_id': '"&amp;Issues!E8&amp;"'}]"</f>
        <v>rg:[{'_id': ''}]</v>
      </c>
      <c r="F8" t="str">
        <f ca="1">IF(ISBLANK(Issues!F8),"rg:None",TEXT(TODAY()+Issues!F8,"YYYY-MM-DDTHH:mm:SS.000Z"))</f>
        <v>rg:None</v>
      </c>
      <c r="G8" t="str">
        <f t="shared" si="0"/>
        <v>rg:[]</v>
      </c>
      <c r="H8" t="str">
        <f>IF(ISBLANK(Issues!H8),"-",Issues!H8)</f>
        <v>-</v>
      </c>
      <c r="I8" t="str">
        <f>IF(ISBLANK(Issues!I8),"-",Issues!I8)</f>
        <v>-</v>
      </c>
      <c r="J8" t="str">
        <f>IF(ISBLANK(Issues!J8),"-",Issues!J8)</f>
        <v>-</v>
      </c>
      <c r="K8" t="str">
        <f t="shared" si="1"/>
        <v>rg:[]</v>
      </c>
    </row>
    <row r="9" spans="1:11" x14ac:dyDescent="0.35">
      <c r="A9" t="str">
        <f>IF(ISBLANK(Issues!A9),"-",Issues!A9)</f>
        <v>-</v>
      </c>
      <c r="B9" t="str">
        <f>IF(ISBLANK(Issues!B9),"-",Issues!B9)</f>
        <v>-</v>
      </c>
      <c r="C9" t="str">
        <f>IF(ISBLANK(Issues!C9),"-",Issues!C9)</f>
        <v>-</v>
      </c>
      <c r="D9" t="str">
        <f>IF(ISBLANK(Issues!D9),"rg:[]","rg:dataset('bucketgroup.csv', '"&amp;Issues!D9&amp;"')")</f>
        <v>rg:[]</v>
      </c>
      <c r="E9" t="str">
        <f>"rg:[{'_id': '"&amp;Issues!E9&amp;"'}]"</f>
        <v>rg:[{'_id': ''}]</v>
      </c>
      <c r="F9" t="str">
        <f ca="1">IF(ISBLANK(Issues!F9),"rg:None",TEXT(TODAY()+Issues!F9,"YYYY-MM-DDTHH:mm:SS.000Z"))</f>
        <v>rg:None</v>
      </c>
      <c r="G9" t="str">
        <f t="shared" si="0"/>
        <v>rg:[]</v>
      </c>
      <c r="H9" t="str">
        <f>IF(ISBLANK(Issues!H9),"-",Issues!H9)</f>
        <v>-</v>
      </c>
      <c r="I9" t="str">
        <f>IF(ISBLANK(Issues!I9),"-",Issues!I9)</f>
        <v>-</v>
      </c>
      <c r="J9" t="str">
        <f>IF(ISBLANK(Issues!J9),"-",Issues!J9)</f>
        <v>-</v>
      </c>
      <c r="K9" t="str">
        <f t="shared" si="1"/>
        <v>rg:[]</v>
      </c>
    </row>
    <row r="10" spans="1:11" x14ac:dyDescent="0.35">
      <c r="A10" t="str">
        <f>IF(ISBLANK(Issues!A10),"-",Issues!A10)</f>
        <v>-</v>
      </c>
      <c r="B10" t="str">
        <f>IF(ISBLANK(Issues!B10),"-",Issues!B10)</f>
        <v>-</v>
      </c>
      <c r="C10" t="str">
        <f>IF(ISBLANK(Issues!C10),"-",Issues!C10)</f>
        <v>-</v>
      </c>
      <c r="D10" t="str">
        <f>IF(ISBLANK(Issues!D10),"rg:[]","rg:dataset('bucketgroup.csv', '"&amp;Issues!D10&amp;"')")</f>
        <v>rg:[]</v>
      </c>
      <c r="E10" t="str">
        <f>"rg:[{'_id': '"&amp;Issues!E10&amp;"'}]"</f>
        <v>rg:[{'_id': ''}]</v>
      </c>
      <c r="F10" t="str">
        <f ca="1">IF(ISBLANK(Issues!F10),"rg:None",TEXT(TODAY()+Issues!F10,"YYYY-MM-DDTHH:mm:SS.000Z"))</f>
        <v>rg:None</v>
      </c>
      <c r="G10" t="str">
        <f t="shared" si="0"/>
        <v>rg:[]</v>
      </c>
      <c r="H10" t="str">
        <f>IF(ISBLANK(Issues!H10),"-",Issues!H10)</f>
        <v>-</v>
      </c>
      <c r="I10" t="str">
        <f>IF(ISBLANK(Issues!I10),"-",Issues!I10)</f>
        <v>-</v>
      </c>
      <c r="J10" t="str">
        <f>IF(ISBLANK(Issues!J10),"-",Issues!J10)</f>
        <v>-</v>
      </c>
      <c r="K10" t="str">
        <f t="shared" si="1"/>
        <v>rg:[]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pane ySplit="1" topLeftCell="A2" activePane="bottomLeft" state="frozen"/>
      <selection pane="bottomLeft" activeCell="D2" sqref="D2"/>
    </sheetView>
  </sheetViews>
  <sheetFormatPr defaultRowHeight="15.5" x14ac:dyDescent="0.35"/>
  <cols>
    <col min="1" max="1" width="8.6640625" style="4"/>
    <col min="4" max="5" width="22.58203125" bestFit="1" customWidth="1"/>
    <col min="8" max="8" width="51.66406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s="4" t="str">
        <f>IF(ISBLANK(Notifications!A2),"-",Notifications!A2)</f>
        <v>knob</v>
      </c>
      <c r="B2" s="4" t="str">
        <f>IF(ISBLANK(Notifications!B2),"-",Notifications!B2)</f>
        <v>projectdescriptioncomplete</v>
      </c>
      <c r="C2" s="4" t="str">
        <f>IF(ISBLANK(Notifications!C2),"-",Notifications!C2)</f>
        <v>sent</v>
      </c>
      <c r="D2" t="str">
        <f ca="1">IF(ISBLANK(Notifications!D2),"rg:None",TEXT(TODAY()+Notifications!D2,"YYYY-MM-DDTHH:mm:SS.000Z"))</f>
        <v>2014-07-17T00:00:00.000Z</v>
      </c>
      <c r="E2" t="str">
        <f ca="1">IF(ISBLANK(Notifications!E2),"rg:None",TEXT(TODAY()+Notifications!E2,"YYYY-MM-DDTHH:mm:SS.000Z"))</f>
        <v>2014-07-15T00:00:00.000Z</v>
      </c>
      <c r="F2" s="4" t="str">
        <f>IF(ISBLANK(Notifications!F2),"-",Notifications!F2)</f>
        <v>The Knob Hill Wind Farm Project Description has been Officially Approved</v>
      </c>
      <c r="G2" s="4" t="str">
        <f>IF(ISBLANK(Notifications!G2),"rg:[]","rg:['"&amp;Notifications!G2&amp;"']")</f>
        <v>rg:['projectdescription']</v>
      </c>
      <c r="H2" s="4" t="str">
        <f>IF(ISBLANK(Notifications!H2),"rg:None","rg:{'name':'"&amp;VLOOKUP(Notifications!H2,team.csv!$B:$K,2,FALSE)&amp;"', 'email':'"&amp;Notifications!H2&amp;"'}")</f>
        <v>rg:{'name':'Suzanne Boyd', 'email':'SuzanneFBoyd@jourrapide.com'}</v>
      </c>
      <c r="I2" s="4" t="str">
        <f>IF(ISBLANK(Notifications!I2),"rg:None","rg:{'name':'"&amp;VLOOKUP(Notifications!I2,team.csv!$B:$K,2,FALSE)&amp;"', 'address':'"&amp;VLOOKUP(Notifications!I2,team.csv!$B:$K,7,FALSE)&amp;"', 'city':'"&amp;VLOOKUP(Notifications!I2,team.csv!$B:$K,8,FALSE)&amp;"', 'prov':'"&amp;VLOOKUP(Notifications!I2,team.csv!$B:$K,9,FALSE)&amp;"', 'postal':'"&amp;VLOOKUP(Notifications!I2,team.csv!$B:$K,10,FALSE)&amp;"', 'tracking':True, 'dataSent': '"&amp;E1&amp;"'}")</f>
        <v>rg:None</v>
      </c>
    </row>
    <row r="3" spans="1:9" x14ac:dyDescent="0.35">
      <c r="A3" s="4" t="str">
        <f>IF(ISBLANK(Notifications!A3),"-",Notifications!A3)</f>
        <v>knob</v>
      </c>
      <c r="B3" s="4" t="str">
        <f>IF(ISBLANK(Notifications!B3),"-",Notifications!B3)</f>
        <v>projectdescriptioncomplete</v>
      </c>
      <c r="C3" s="4" t="str">
        <f>IF(ISBLANK(Notifications!C3),"-",Notifications!C3)</f>
        <v>sent</v>
      </c>
      <c r="D3" t="str">
        <f ca="1">IF(ISBLANK(Notifications!D3),"rg:None",TEXT(TODAY()+Notifications!D3,"YYYY-MM-DDTHH:mm:SS.000Z"))</f>
        <v>2014-07-17T00:00:00.000Z</v>
      </c>
      <c r="E3" t="str">
        <f ca="1">IF(ISBLANK(Notifications!E3),"rg:None",TEXT(TODAY()+Notifications!E3,"YYYY-MM-DDTHH:mm:SS.000Z"))</f>
        <v>2014-07-15T00:00:00.000Z</v>
      </c>
      <c r="F3" s="4" t="str">
        <f>IF(ISBLANK(Notifications!F3),"-",Notifications!F3)</f>
        <v>The Knob Hill Wind Farm Project Description has been Officially Approved</v>
      </c>
      <c r="G3" s="4" t="str">
        <f>IF(ISBLANK(Notifications!G3),"rg:[]","rg:['"&amp;Notifications!G3&amp;"']")</f>
        <v>rg:['projectdescription']</v>
      </c>
      <c r="H3" s="4" t="str">
        <f>IF(ISBLANK(Notifications!H3),"rg:None","rg:{'name':'"&amp;VLOOKUP(Notifications!H3,team.csv!$B:$K,2,FALSE)&amp;"', 'email':'"&amp;Notifications!H3&amp;"'}")</f>
        <v>rg:None</v>
      </c>
      <c r="I3" s="4" t="str">
        <f ca="1">IF(ISBLANK(Notifications!I3),"rg:None","rg:{'name':'"&amp;VLOOKUP(Notifications!I3,team.csv!$B:$K,2,FALSE)&amp;"', 'address':'"&amp;VLOOKUP(Notifications!I3,team.csv!$B:$K,7,FALSE)&amp;"', 'city':'"&amp;VLOOKUP(Notifications!I3,team.csv!$B:$K,8,FALSE)&amp;"', 'prov':'"&amp;VLOOKUP(Notifications!I3,team.csv!$B:$K,9,FALSE)&amp;"', 'postal':'"&amp;VLOOKUP(Notifications!I3,team.csv!$B:$K,10,FALSE)&amp;"', 'tracking':True, 'dataSent': '"&amp;E2&amp;"'}")</f>
        <v>rg:{'name':'Christopher Lemon', 'address':'1019 Hardy Street', 'city':'Kelowna', 'prov':'BC', 'postal':'V1Y 8H2', 'tracking':True, 'dataSent': '2014-07-15T00:00:00.000Z'}</v>
      </c>
    </row>
    <row r="4" spans="1:9" x14ac:dyDescent="0.35">
      <c r="A4" s="4" t="str">
        <f>IF(ISBLANK(Notifications!A4),"-",Notifications!A4)</f>
        <v>-</v>
      </c>
      <c r="B4" s="4" t="str">
        <f>IF(ISBLANK(Notifications!B4),"-",Notifications!B4)</f>
        <v>-</v>
      </c>
      <c r="C4" s="4" t="str">
        <f>IF(ISBLANK(Notifications!C4),"-",Notifications!C4)</f>
        <v>-</v>
      </c>
      <c r="D4" t="str">
        <f ca="1">IF(ISBLANK(Notifications!D4),"rg:None",TEXT(TODAY()+Notifications!D4,"YYYY-MM-DDTHH:mm:SS.000Z"))</f>
        <v>rg:None</v>
      </c>
      <c r="E4" t="str">
        <f ca="1">IF(ISBLANK(Notifications!E4),"rg:None",TEXT(TODAY()+Notifications!E4,"YYYY-MM-DDTHH:mm:SS.000Z"))</f>
        <v>rg:None</v>
      </c>
      <c r="F4" s="4" t="str">
        <f>IF(ISBLANK(Notifications!F4),"-",Notifications!F4)</f>
        <v>-</v>
      </c>
      <c r="G4" s="4" t="str">
        <f>IF(ISBLANK(Notifications!G4),"rg:[]","rg:['"&amp;Notifications!G4&amp;"']")</f>
        <v>rg:[]</v>
      </c>
      <c r="H4" s="4" t="str">
        <f>IF(ISBLANK(Notifications!H4),"rg:None","rg:{'name':'"&amp;VLOOKUP(Notifications!H4,team.csv!$B:$K,2,FALSE)&amp;"', 'email':'"&amp;Notifications!H4&amp;"'}")</f>
        <v>rg:None</v>
      </c>
      <c r="I4" s="4" t="str">
        <f>IF(ISBLANK(Notifications!I4),"rg:None","rg:{'name':'"&amp;VLOOKUP(Notifications!I4,team.csv!$B:$K,2,FALSE)&amp;"', 'address':'"&amp;VLOOKUP(Notifications!I4,team.csv!$B:$K,7,FALSE)&amp;"', 'city':'"&amp;VLOOKUP(Notifications!I4,team.csv!$B:$K,8,FALSE)&amp;"', 'prov':'"&amp;VLOOKUP(Notifications!I4,team.csv!$B:$K,9,FALSE)&amp;"', 'postal':'"&amp;VLOOKUP(Notifications!I4,team.csv!$B:$K,10,FALSE)&amp;"', 'tracking':True, 'dataSent': '"&amp;E3&amp;"'}")</f>
        <v>rg:None</v>
      </c>
    </row>
    <row r="5" spans="1:9" x14ac:dyDescent="0.35">
      <c r="A5" s="4" t="str">
        <f>IF(ISBLANK(Notifications!A5),"-",Notifications!A5)</f>
        <v>-</v>
      </c>
      <c r="B5" s="4" t="str">
        <f>IF(ISBLANK(Notifications!B5),"-",Notifications!B5)</f>
        <v>-</v>
      </c>
      <c r="C5" s="4" t="str">
        <f>IF(ISBLANK(Notifications!C5),"-",Notifications!C5)</f>
        <v>-</v>
      </c>
      <c r="D5" t="str">
        <f ca="1">IF(ISBLANK(Notifications!D5),"rg:None",TEXT(TODAY()+Notifications!D5,"YYYY-MM-DDTHH:mm:SS.000Z"))</f>
        <v>rg:None</v>
      </c>
      <c r="E5" t="str">
        <f ca="1">IF(ISBLANK(Notifications!E5),"rg:None",TEXT(TODAY()+Notifications!E5,"YYYY-MM-DDTHH:mm:SS.000Z"))</f>
        <v>rg:None</v>
      </c>
      <c r="F5" s="4" t="str">
        <f>IF(ISBLANK(Notifications!F5),"-",Notifications!F5)</f>
        <v>-</v>
      </c>
      <c r="G5" s="4" t="str">
        <f>IF(ISBLANK(Notifications!G5),"rg:[]","rg:['"&amp;Notifications!G5&amp;"']")</f>
        <v>rg:[]</v>
      </c>
      <c r="H5" s="4" t="str">
        <f>IF(ISBLANK(Notifications!H5),"rg:None","rg:{'name':'"&amp;VLOOKUP(Notifications!H5,team.csv!$B:$K,2,FALSE)&amp;"', 'email':'"&amp;Notifications!H5&amp;"'}")</f>
        <v>rg:None</v>
      </c>
      <c r="I5" s="4" t="str">
        <f>IF(ISBLANK(Notifications!I5),"rg:None","rg:{'name':'"&amp;VLOOKUP(Notifications!I5,team.csv!$B:$K,2,FALSE)&amp;"', 'address':'"&amp;VLOOKUP(Notifications!I5,team.csv!$B:$K,7,FALSE)&amp;"', 'city':'"&amp;VLOOKUP(Notifications!I5,team.csv!$B:$K,8,FALSE)&amp;"', 'prov':'"&amp;VLOOKUP(Notifications!I5,team.csv!$B:$K,9,FALSE)&amp;"', 'postal':'"&amp;VLOOKUP(Notifications!I5,team.csv!$B:$K,10,FALSE)&amp;"', 'tracking':True, 'dataSent': '"&amp;E4&amp;"'}")</f>
        <v>rg:None</v>
      </c>
    </row>
    <row r="6" spans="1:9" x14ac:dyDescent="0.35">
      <c r="A6" s="4" t="str">
        <f>IF(ISBLANK(Notifications!A6),"-",Notifications!A6)</f>
        <v>-</v>
      </c>
      <c r="B6" s="4" t="str">
        <f>IF(ISBLANK(Notifications!B6),"-",Notifications!B6)</f>
        <v>-</v>
      </c>
      <c r="C6" s="4" t="str">
        <f>IF(ISBLANK(Notifications!C6),"-",Notifications!C6)</f>
        <v>-</v>
      </c>
      <c r="D6" t="str">
        <f ca="1">IF(ISBLANK(Notifications!D6),"rg:None",TEXT(TODAY()+Notifications!D6,"YYYY-MM-DDTHH:mm:SS.000Z"))</f>
        <v>rg:None</v>
      </c>
      <c r="E6" t="str">
        <f ca="1">IF(ISBLANK(Notifications!E6),"rg:None",TEXT(TODAY()+Notifications!E6,"YYYY-MM-DDTHH:mm:SS.000Z"))</f>
        <v>rg:None</v>
      </c>
      <c r="F6" s="4" t="str">
        <f>IF(ISBLANK(Notifications!F6),"-",Notifications!F6)</f>
        <v>-</v>
      </c>
      <c r="G6" s="4" t="str">
        <f>IF(ISBLANK(Notifications!G6),"rg:[]","rg:['"&amp;Notifications!G6&amp;"']")</f>
        <v>rg:[]</v>
      </c>
      <c r="H6" s="4" t="str">
        <f>IF(ISBLANK(Notifications!H6),"rg:None","rg:{'name':'"&amp;VLOOKUP(Notifications!H6,team.csv!$B:$K,2,FALSE)&amp;"', 'email':'"&amp;Notifications!H6&amp;"'}")</f>
        <v>rg:None</v>
      </c>
      <c r="I6" s="4" t="str">
        <f>IF(ISBLANK(Notifications!I6),"rg:None","rg:{'name':'"&amp;VLOOKUP(Notifications!I6,team.csv!$B:$K,2,FALSE)&amp;"', 'address':'"&amp;VLOOKUP(Notifications!I6,team.csv!$B:$K,7,FALSE)&amp;"', 'city':'"&amp;VLOOKUP(Notifications!I6,team.csv!$B:$K,8,FALSE)&amp;"', 'prov':'"&amp;VLOOKUP(Notifications!I6,team.csv!$B:$K,9,FALSE)&amp;"', 'postal':'"&amp;VLOOKUP(Notifications!I6,team.csv!$B:$K,10,FALSE)&amp;"', 'tracking':True, 'dataSent': '"&amp;E5&amp;"'}")</f>
        <v>rg:None</v>
      </c>
    </row>
    <row r="7" spans="1:9" x14ac:dyDescent="0.35">
      <c r="A7" s="4" t="str">
        <f>IF(ISBLANK(Notifications!A7),"-",Notifications!A7)</f>
        <v>-</v>
      </c>
      <c r="B7" s="4" t="str">
        <f>IF(ISBLANK(Notifications!B7),"-",Notifications!B7)</f>
        <v>-</v>
      </c>
      <c r="C7" s="4" t="str">
        <f>IF(ISBLANK(Notifications!C7),"-",Notifications!C7)</f>
        <v>-</v>
      </c>
      <c r="D7" t="str">
        <f ca="1">IF(ISBLANK(Notifications!D7),"rg:None",TEXT(TODAY()+Notifications!D7,"YYYY-MM-DDTHH:mm:SS.000Z"))</f>
        <v>rg:None</v>
      </c>
      <c r="E7" t="str">
        <f ca="1">IF(ISBLANK(Notifications!E7),"rg:None",TEXT(TODAY()+Notifications!E7,"YYYY-MM-DDTHH:mm:SS.000Z"))</f>
        <v>rg:None</v>
      </c>
      <c r="F7" s="4" t="str">
        <f>IF(ISBLANK(Notifications!F7),"-",Notifications!F7)</f>
        <v>-</v>
      </c>
      <c r="G7" s="4" t="str">
        <f>IF(ISBLANK(Notifications!G7),"rg:[]","rg:['"&amp;Notifications!G7&amp;"']")</f>
        <v>rg:[]</v>
      </c>
      <c r="H7" s="4" t="str">
        <f>IF(ISBLANK(Notifications!H7),"rg:None","rg:{'name':'"&amp;VLOOKUP(Notifications!H7,team.csv!$B:$K,2,FALSE)&amp;"', 'email':'"&amp;Notifications!H7&amp;"'}")</f>
        <v>rg:None</v>
      </c>
      <c r="I7" s="4" t="str">
        <f>IF(ISBLANK(Notifications!I7),"rg:None","rg:{'name':'"&amp;VLOOKUP(Notifications!I7,team.csv!$B:$K,2,FALSE)&amp;"', 'address':'"&amp;VLOOKUP(Notifications!I7,team.csv!$B:$K,7,FALSE)&amp;"', 'city':'"&amp;VLOOKUP(Notifications!I7,team.csv!$B:$K,8,FALSE)&amp;"', 'prov':'"&amp;VLOOKUP(Notifications!I7,team.csv!$B:$K,9,FALSE)&amp;"', 'postal':'"&amp;VLOOKUP(Notifications!I7,team.csv!$B:$K,10,FALSE)&amp;"', 'tracking':True, 'dataSent': '"&amp;E6&amp;"'}")</f>
        <v>rg:None</v>
      </c>
    </row>
    <row r="8" spans="1:9" x14ac:dyDescent="0.35">
      <c r="A8" s="4" t="str">
        <f>IF(ISBLANK(Notifications!A8),"-",Notifications!A8)</f>
        <v>-</v>
      </c>
      <c r="B8" s="4" t="str">
        <f>IF(ISBLANK(Notifications!B8),"-",Notifications!B8)</f>
        <v>-</v>
      </c>
      <c r="C8" s="4" t="str">
        <f>IF(ISBLANK(Notifications!C8),"-",Notifications!C8)</f>
        <v>-</v>
      </c>
      <c r="D8" t="str">
        <f ca="1">IF(ISBLANK(Notifications!D8),"rg:None",TEXT(TODAY()+Notifications!D8,"YYYY-MM-DDTHH:mm:SS.000Z"))</f>
        <v>rg:None</v>
      </c>
      <c r="E8" t="str">
        <f ca="1">IF(ISBLANK(Notifications!E8),"rg:None",TEXT(TODAY()+Notifications!E8,"YYYY-MM-DDTHH:mm:SS.000Z"))</f>
        <v>rg:None</v>
      </c>
      <c r="F8" s="4" t="str">
        <f>IF(ISBLANK(Notifications!F8),"-",Notifications!F8)</f>
        <v>-</v>
      </c>
      <c r="G8" s="4" t="str">
        <f>IF(ISBLANK(Notifications!G8),"rg:[]","rg:['"&amp;Notifications!G8&amp;"']")</f>
        <v>rg:[]</v>
      </c>
      <c r="H8" s="4" t="str">
        <f>IF(ISBLANK(Notifications!H8),"rg:None","rg:{'name':'"&amp;VLOOKUP(Notifications!H8,team.csv!$B:$K,2,FALSE)&amp;"', 'email':'"&amp;Notifications!H8&amp;"'}")</f>
        <v>rg:None</v>
      </c>
      <c r="I8" s="4" t="str">
        <f>IF(ISBLANK(Notifications!I8),"rg:None","rg:{'name':'"&amp;VLOOKUP(Notifications!I8,team.csv!$B:$K,2,FALSE)&amp;"', 'address':'"&amp;VLOOKUP(Notifications!I8,team.csv!$B:$K,7,FALSE)&amp;"', 'city':'"&amp;VLOOKUP(Notifications!I8,team.csv!$B:$K,8,FALSE)&amp;"', 'prov':'"&amp;VLOOKUP(Notifications!I8,team.csv!$B:$K,9,FALSE)&amp;"', 'postal':'"&amp;VLOOKUP(Notifications!I8,team.csv!$B:$K,10,FALSE)&amp;"', 'tracking':True, 'dataSent': '"&amp;E7&amp;"'}")</f>
        <v>rg:None</v>
      </c>
    </row>
    <row r="9" spans="1:9" x14ac:dyDescent="0.35">
      <c r="A9" s="4" t="str">
        <f>IF(ISBLANK(Notifications!A9),"-",Notifications!A9)</f>
        <v>-</v>
      </c>
      <c r="B9" s="4" t="str">
        <f>IF(ISBLANK(Notifications!B9),"-",Notifications!B9)</f>
        <v>-</v>
      </c>
      <c r="C9" s="4" t="str">
        <f>IF(ISBLANK(Notifications!C9),"-",Notifications!C9)</f>
        <v>-</v>
      </c>
      <c r="D9" t="str">
        <f ca="1">IF(ISBLANK(Notifications!D9),"rg:None",TEXT(TODAY()+Notifications!D9,"YYYY-MM-DDTHH:mm:SS.000Z"))</f>
        <v>rg:None</v>
      </c>
      <c r="E9" t="str">
        <f ca="1">IF(ISBLANK(Notifications!E9),"rg:None",TEXT(TODAY()+Notifications!E9,"YYYY-MM-DDTHH:mm:SS.000Z"))</f>
        <v>rg:None</v>
      </c>
      <c r="F9" s="4" t="str">
        <f>IF(ISBLANK(Notifications!F9),"-",Notifications!F9)</f>
        <v>-</v>
      </c>
      <c r="G9" s="4" t="str">
        <f>IF(ISBLANK(Notifications!G9),"rg:[]","rg:['"&amp;Notifications!G9&amp;"']")</f>
        <v>rg:[]</v>
      </c>
      <c r="H9" s="4" t="str">
        <f>IF(ISBLANK(Notifications!H9),"rg:None","rg:{'name':'"&amp;VLOOKUP(Notifications!H9,team.csv!$B:$K,2,FALSE)&amp;"', 'email':'"&amp;Notifications!H9&amp;"'}")</f>
        <v>rg:None</v>
      </c>
      <c r="I9" s="4" t="str">
        <f>IF(ISBLANK(Notifications!I9),"rg:None","rg:{'name':'"&amp;VLOOKUP(Notifications!I9,team.csv!$B:$K,2,FALSE)&amp;"', 'address':'"&amp;VLOOKUP(Notifications!I9,team.csv!$B:$K,7,FALSE)&amp;"', 'city':'"&amp;VLOOKUP(Notifications!I9,team.csv!$B:$K,8,FALSE)&amp;"', 'prov':'"&amp;VLOOKUP(Notifications!I9,team.csv!$B:$K,9,FALSE)&amp;"', 'postal':'"&amp;VLOOKUP(Notifications!I9,team.csv!$B:$K,10,FALSE)&amp;"', 'tracking':True, 'dataSent': '"&amp;E8&amp;"'}")</f>
        <v>rg:None</v>
      </c>
    </row>
    <row r="10" spans="1:9" x14ac:dyDescent="0.35">
      <c r="A10" s="4" t="str">
        <f>IF(ISBLANK(Notifications!A10),"-",Notifications!A10)</f>
        <v>-</v>
      </c>
      <c r="B10" s="4" t="str">
        <f>IF(ISBLANK(Notifications!B10),"-",Notifications!B10)</f>
        <v>-</v>
      </c>
      <c r="C10" s="4" t="str">
        <f>IF(ISBLANK(Notifications!C10),"-",Notifications!C10)</f>
        <v>-</v>
      </c>
      <c r="D10" t="str">
        <f ca="1">IF(ISBLANK(Notifications!D10),"rg:None",TEXT(TODAY()+Notifications!D10,"YYYY-MM-DDTHH:mm:SS.000Z"))</f>
        <v>rg:None</v>
      </c>
      <c r="E10" t="str">
        <f ca="1">IF(ISBLANK(Notifications!E10),"rg:None",TEXT(TODAY()+Notifications!E10,"YYYY-MM-DDTHH:mm:SS.000Z"))</f>
        <v>rg:None</v>
      </c>
      <c r="F10" s="4" t="str">
        <f>IF(ISBLANK(Notifications!F10),"-",Notifications!F10)</f>
        <v>-</v>
      </c>
      <c r="G10" s="4" t="str">
        <f>IF(ISBLANK(Notifications!G10),"rg:[]","rg:['"&amp;Notifications!G10&amp;"']")</f>
        <v>rg:[]</v>
      </c>
      <c r="H10" s="4" t="str">
        <f>IF(ISBLANK(Notifications!H10),"rg:None","rg:{'name':'"&amp;VLOOKUP(Notifications!H10,team.csv!$B:$K,2,FALSE)&amp;"', 'email':'"&amp;Notifications!H10&amp;"'}")</f>
        <v>rg:None</v>
      </c>
      <c r="I10" s="4" t="str">
        <f>IF(ISBLANK(Notifications!I10),"rg:None","rg:{'name':'"&amp;VLOOKUP(Notifications!I10,team.csv!$B:$K,2,FALSE)&amp;"', 'address':'"&amp;VLOOKUP(Notifications!I10,team.csv!$B:$K,7,FALSE)&amp;"', 'city':'"&amp;VLOOKUP(Notifications!I10,team.csv!$B:$K,8,FALSE)&amp;"', 'prov':'"&amp;VLOOKUP(Notifications!I10,team.csv!$B:$K,9,FALSE)&amp;"', 'postal':'"&amp;VLOOKUP(Notifications!I10,team.csv!$B:$K,10,FALSE)&amp;"', 'tracking':True, 'dataSent': '"&amp;E9&amp;"'}")</f>
        <v>rg:None</v>
      </c>
    </row>
    <row r="11" spans="1:9" x14ac:dyDescent="0.35">
      <c r="A11" s="4" t="str">
        <f>IF(ISBLANK(Notifications!A11),"-",Notifications!A11)</f>
        <v>-</v>
      </c>
      <c r="B11" s="4" t="str">
        <f>IF(ISBLANK(Notifications!B11),"-",Notifications!B11)</f>
        <v>-</v>
      </c>
      <c r="C11" s="4" t="str">
        <f>IF(ISBLANK(Notifications!C11),"-",Notifications!C11)</f>
        <v>-</v>
      </c>
      <c r="D11" t="str">
        <f ca="1">IF(ISBLANK(Notifications!D11),"rg:None",TEXT(TODAY()+Notifications!D11,"YYYY-MM-DDTHH:mm:SS.000Z"))</f>
        <v>rg:None</v>
      </c>
      <c r="E11" t="str">
        <f ca="1">IF(ISBLANK(Notifications!E11),"rg:None",TEXT(TODAY()+Notifications!E11,"YYYY-MM-DDTHH:mm:SS.000Z"))</f>
        <v>rg:None</v>
      </c>
      <c r="F11" s="4" t="str">
        <f>IF(ISBLANK(Notifications!F11),"-",Notifications!F11)</f>
        <v>-</v>
      </c>
      <c r="G11" s="4" t="str">
        <f>IF(ISBLANK(Notifications!G11),"rg:[]","rg:['"&amp;Notifications!G11&amp;"']")</f>
        <v>rg:[]</v>
      </c>
      <c r="H11" s="4" t="str">
        <f>IF(ISBLANK(Notifications!H11),"rg:None","rg:{'name':'"&amp;VLOOKUP(Notifications!H11,team.csv!$B:$K,2,FALSE)&amp;"', 'email':'"&amp;Notifications!H11&amp;"'}")</f>
        <v>rg:None</v>
      </c>
      <c r="I11" s="4" t="str">
        <f>IF(ISBLANK(Notifications!I11),"rg:None","rg:{'name':'"&amp;VLOOKUP(Notifications!I11,team.csv!$B:$K,2,FALSE)&amp;"', 'address':'"&amp;VLOOKUP(Notifications!I11,team.csv!$B:$K,7,FALSE)&amp;"', 'city':'"&amp;VLOOKUP(Notifications!I11,team.csv!$B:$K,8,FALSE)&amp;"', 'prov':'"&amp;VLOOKUP(Notifications!I11,team.csv!$B:$K,9,FALSE)&amp;"', 'postal':'"&amp;VLOOKUP(Notifications!I11,team.csv!$B:$K,10,FALSE)&amp;"', 'tracking':True, 'dataSent': '"&amp;E10&amp;"'}")</f>
        <v>rg:None</v>
      </c>
    </row>
    <row r="12" spans="1:9" x14ac:dyDescent="0.35">
      <c r="A12" s="4" t="str">
        <f>IF(ISBLANK(Notifications!A12),"-",Notifications!A12)</f>
        <v>-</v>
      </c>
      <c r="B12" s="4" t="str">
        <f>IF(ISBLANK(Notifications!B12),"-",Notifications!B12)</f>
        <v>-</v>
      </c>
      <c r="C12" s="4" t="str">
        <f>IF(ISBLANK(Notifications!C12),"-",Notifications!C12)</f>
        <v>-</v>
      </c>
      <c r="D12" t="str">
        <f ca="1">IF(ISBLANK(Notifications!D12),"rg:None",TEXT(TODAY()+Notifications!D12,"YYYY-MM-DDTHH:mm:SS.000Z"))</f>
        <v>rg:None</v>
      </c>
      <c r="E12" t="str">
        <f ca="1">IF(ISBLANK(Notifications!E12),"rg:None",TEXT(TODAY()+Notifications!E12,"YYYY-MM-DDTHH:mm:SS.000Z"))</f>
        <v>rg:None</v>
      </c>
      <c r="F12" s="4" t="str">
        <f>IF(ISBLANK(Notifications!F12),"-",Notifications!F12)</f>
        <v>-</v>
      </c>
      <c r="G12" s="4" t="str">
        <f>IF(ISBLANK(Notifications!G12),"rg:[]","rg:['"&amp;Notifications!G12&amp;"']")</f>
        <v>rg:[]</v>
      </c>
      <c r="H12" s="4" t="str">
        <f>IF(ISBLANK(Notifications!H12),"rg:None","rg:{'name':'"&amp;VLOOKUP(Notifications!H12,team.csv!$B:$K,2,FALSE)&amp;"', 'email':'"&amp;Notifications!H12&amp;"'}")</f>
        <v>rg:None</v>
      </c>
      <c r="I12" s="4" t="str">
        <f>IF(ISBLANK(Notifications!I12),"rg:None","rg:{'name':'"&amp;VLOOKUP(Notifications!I12,team.csv!$B:$K,2,FALSE)&amp;"', 'address':'"&amp;VLOOKUP(Notifications!I12,team.csv!$B:$K,7,FALSE)&amp;"', 'city':'"&amp;VLOOKUP(Notifications!I12,team.csv!$B:$K,8,FALSE)&amp;"', 'prov':'"&amp;VLOOKUP(Notifications!I12,team.csv!$B:$K,9,FALSE)&amp;"', 'postal':'"&amp;VLOOKUP(Notifications!I12,team.csv!$B:$K,10,FALSE)&amp;"', 'tracking':True, 'dataSent': '"&amp;E11&amp;"'}")</f>
        <v>rg:None</v>
      </c>
    </row>
    <row r="13" spans="1:9" x14ac:dyDescent="0.35">
      <c r="A13" s="4" t="str">
        <f>IF(ISBLANK(Notifications!A13),"-",Notifications!A13)</f>
        <v>-</v>
      </c>
      <c r="B13" s="4" t="str">
        <f>IF(ISBLANK(Notifications!B13),"-",Notifications!B13)</f>
        <v>-</v>
      </c>
      <c r="C13" s="4" t="str">
        <f>IF(ISBLANK(Notifications!C13),"-",Notifications!C13)</f>
        <v>-</v>
      </c>
      <c r="D13" t="str">
        <f ca="1">IF(ISBLANK(Notifications!D13),"rg:None",TEXT(TODAY()+Notifications!D13,"YYYY-MM-DDTHH:mm:SS.000Z"))</f>
        <v>rg:None</v>
      </c>
      <c r="E13" t="str">
        <f ca="1">IF(ISBLANK(Notifications!E13),"rg:None",TEXT(TODAY()+Notifications!E13,"YYYY-MM-DDTHH:mm:SS.000Z"))</f>
        <v>rg:None</v>
      </c>
      <c r="F13" s="4" t="str">
        <f>IF(ISBLANK(Notifications!F13),"-",Notifications!F13)</f>
        <v>-</v>
      </c>
      <c r="G13" s="4" t="str">
        <f>IF(ISBLANK(Notifications!G13),"rg:[]","rg:['"&amp;Notifications!G13&amp;"']")</f>
        <v>rg:[]</v>
      </c>
      <c r="H13" s="4" t="str">
        <f>IF(ISBLANK(Notifications!H13),"rg:None","rg:{'name':'"&amp;VLOOKUP(Notifications!H13,team.csv!$B:$K,2,FALSE)&amp;"', 'email':'"&amp;Notifications!H13&amp;"'}")</f>
        <v>rg:None</v>
      </c>
      <c r="I13" s="4" t="str">
        <f>IF(ISBLANK(Notifications!I13),"rg:None","rg:{'name':'"&amp;VLOOKUP(Notifications!I13,team.csv!$B:$K,2,FALSE)&amp;"', 'address':'"&amp;VLOOKUP(Notifications!I13,team.csv!$B:$K,7,FALSE)&amp;"', 'city':'"&amp;VLOOKUP(Notifications!I13,team.csv!$B:$K,8,FALSE)&amp;"', 'prov':'"&amp;VLOOKUP(Notifications!I13,team.csv!$B:$K,9,FALSE)&amp;"', 'postal':'"&amp;VLOOKUP(Notifications!I13,team.csv!$B:$K,10,FALSE)&amp;"', 'tracking':True, 'dataSent': '"&amp;E12&amp;"'}")</f>
        <v>rg:None</v>
      </c>
    </row>
    <row r="14" spans="1:9" x14ac:dyDescent="0.35">
      <c r="A14" s="4" t="str">
        <f>IF(ISBLANK(Notifications!A14),"-",Notifications!A14)</f>
        <v>-</v>
      </c>
      <c r="B14" s="4" t="str">
        <f>IF(ISBLANK(Notifications!B14),"-",Notifications!B14)</f>
        <v>-</v>
      </c>
      <c r="C14" s="4" t="str">
        <f>IF(ISBLANK(Notifications!C14),"-",Notifications!C14)</f>
        <v>-</v>
      </c>
      <c r="D14" t="str">
        <f ca="1">IF(ISBLANK(Notifications!D14),"rg:None",TEXT(TODAY()+Notifications!D14,"YYYY-MM-DDTHH:mm:SS.000Z"))</f>
        <v>rg:None</v>
      </c>
      <c r="E14" t="str">
        <f ca="1">IF(ISBLANK(Notifications!E14),"rg:None",TEXT(TODAY()+Notifications!E14,"YYYY-MM-DDTHH:mm:SS.000Z"))</f>
        <v>rg:None</v>
      </c>
      <c r="F14" s="4" t="str">
        <f>IF(ISBLANK(Notifications!F14),"-",Notifications!F14)</f>
        <v>-</v>
      </c>
      <c r="G14" s="4" t="str">
        <f>IF(ISBLANK(Notifications!G14),"rg:[]","rg:['"&amp;Notifications!G14&amp;"']")</f>
        <v>rg:[]</v>
      </c>
      <c r="H14" s="4" t="str">
        <f>IF(ISBLANK(Notifications!H14),"rg:None","rg:{'name':'"&amp;VLOOKUP(Notifications!H14,team.csv!$B:$K,2,FALSE)&amp;"', 'email':'"&amp;Notifications!H14&amp;"'}")</f>
        <v>rg:None</v>
      </c>
      <c r="I14" s="4" t="str">
        <f>IF(ISBLANK(Notifications!I14),"rg:None","rg:{'name':'"&amp;VLOOKUP(Notifications!I14,team.csv!$B:$K,2,FALSE)&amp;"', 'address':'"&amp;VLOOKUP(Notifications!I14,team.csv!$B:$K,7,FALSE)&amp;"', 'city':'"&amp;VLOOKUP(Notifications!I14,team.csv!$B:$K,8,FALSE)&amp;"', 'prov':'"&amp;VLOOKUP(Notifications!I14,team.csv!$B:$K,9,FALSE)&amp;"', 'postal':'"&amp;VLOOKUP(Notifications!I14,team.csv!$B:$K,10,FALSE)&amp;"', 'tracking':True, 'dataSent': '"&amp;E13&amp;"'}")</f>
        <v>rg:None</v>
      </c>
    </row>
    <row r="15" spans="1:9" x14ac:dyDescent="0.35">
      <c r="A15" s="4" t="str">
        <f>IF(ISBLANK(Notifications!A15),"-",Notifications!A15)</f>
        <v>-</v>
      </c>
      <c r="B15" s="4" t="str">
        <f>IF(ISBLANK(Notifications!B15),"-",Notifications!B15)</f>
        <v>-</v>
      </c>
      <c r="C15" s="4" t="str">
        <f>IF(ISBLANK(Notifications!C15),"-",Notifications!C15)</f>
        <v>-</v>
      </c>
      <c r="D15" t="str">
        <f ca="1">IF(ISBLANK(Notifications!D15),"rg:None",TEXT(TODAY()+Notifications!D15,"YYYY-MM-DDTHH:mm:SS.000Z"))</f>
        <v>rg:None</v>
      </c>
      <c r="E15" t="str">
        <f ca="1">IF(ISBLANK(Notifications!E15),"rg:None",TEXT(TODAY()+Notifications!E15,"YYYY-MM-DDTHH:mm:SS.000Z"))</f>
        <v>rg:None</v>
      </c>
      <c r="F15" s="4" t="str">
        <f>IF(ISBLANK(Notifications!F15),"-",Notifications!F15)</f>
        <v>-</v>
      </c>
      <c r="G15" s="4" t="str">
        <f>IF(ISBLANK(Notifications!G15),"rg:[]","rg:['"&amp;Notifications!G15&amp;"']")</f>
        <v>rg:[]</v>
      </c>
      <c r="H15" s="4" t="str">
        <f>IF(ISBLANK(Notifications!H15),"rg:None","rg:{'name':'"&amp;VLOOKUP(Notifications!H15,team.csv!$B:$K,2,FALSE)&amp;"', 'email':'"&amp;Notifications!H15&amp;"'}")</f>
        <v>rg:None</v>
      </c>
      <c r="I15" s="4" t="str">
        <f>IF(ISBLANK(Notifications!I15),"rg:None","rg:{'name':'"&amp;VLOOKUP(Notifications!I15,team.csv!$B:$K,2,FALSE)&amp;"', 'address':'"&amp;VLOOKUP(Notifications!I15,team.csv!$B:$K,7,FALSE)&amp;"', 'city':'"&amp;VLOOKUP(Notifications!I15,team.csv!$B:$K,8,FALSE)&amp;"', 'prov':'"&amp;VLOOKUP(Notifications!I15,team.csv!$B:$K,9,FALSE)&amp;"', 'postal':'"&amp;VLOOKUP(Notifications!I15,team.csv!$B:$K,10,FALSE)&amp;"', 'tracking':True, 'dataSent': '"&amp;E14&amp;"'}")</f>
        <v>rg:None</v>
      </c>
    </row>
    <row r="16" spans="1:9" x14ac:dyDescent="0.35">
      <c r="A16" s="4" t="str">
        <f>IF(ISBLANK(Notifications!A16),"-",Notifications!A16)</f>
        <v>-</v>
      </c>
      <c r="B16" s="4" t="str">
        <f>IF(ISBLANK(Notifications!B16),"-",Notifications!B16)</f>
        <v>-</v>
      </c>
      <c r="C16" s="4" t="str">
        <f>IF(ISBLANK(Notifications!C16),"-",Notifications!C16)</f>
        <v>-</v>
      </c>
      <c r="D16" t="str">
        <f ca="1">IF(ISBLANK(Notifications!D16),"rg:None",TEXT(TODAY()+Notifications!D16,"YYYY-MM-DDTHH:mm:SS.000Z"))</f>
        <v>rg:None</v>
      </c>
      <c r="E16" t="str">
        <f ca="1">IF(ISBLANK(Notifications!E16),"rg:None",TEXT(TODAY()+Notifications!E16,"YYYY-MM-DDTHH:mm:SS.000Z"))</f>
        <v>rg:None</v>
      </c>
      <c r="F16" s="4" t="str">
        <f>IF(ISBLANK(Notifications!F16),"-",Notifications!F16)</f>
        <v>-</v>
      </c>
      <c r="G16" s="4" t="str">
        <f>IF(ISBLANK(Notifications!G16),"rg:[]","rg:['"&amp;Notifications!G16&amp;"']")</f>
        <v>rg:[]</v>
      </c>
      <c r="H16" s="4" t="str">
        <f>IF(ISBLANK(Notifications!H16),"rg:None","rg:{'name':'"&amp;VLOOKUP(Notifications!H16,team.csv!$B:$K,2,FALSE)&amp;"', 'email':'"&amp;Notifications!H16&amp;"'}")</f>
        <v>rg:None</v>
      </c>
      <c r="I16" s="4" t="str">
        <f>IF(ISBLANK(Notifications!I16),"rg:None","rg:{'name':'"&amp;VLOOKUP(Notifications!I16,team.csv!$B:$K,2,FALSE)&amp;"', 'address':'"&amp;VLOOKUP(Notifications!I16,team.csv!$B:$K,7,FALSE)&amp;"', 'city':'"&amp;VLOOKUP(Notifications!I16,team.csv!$B:$K,8,FALSE)&amp;"', 'prov':'"&amp;VLOOKUP(Notifications!I16,team.csv!$B:$K,9,FALSE)&amp;"', 'postal':'"&amp;VLOOKUP(Notifications!I16,team.csv!$B:$K,10,FALSE)&amp;"', 'tracking':True, 'dataSent': '"&amp;E15&amp;"'}")</f>
        <v>rg:None</v>
      </c>
    </row>
    <row r="17" spans="1:9" x14ac:dyDescent="0.35">
      <c r="A17" s="4" t="str">
        <f>IF(ISBLANK(Notifications!A17),"-",Notifications!A17)</f>
        <v>-</v>
      </c>
      <c r="B17" s="4" t="str">
        <f>IF(ISBLANK(Notifications!B17),"-",Notifications!B17)</f>
        <v>-</v>
      </c>
      <c r="C17" s="4" t="str">
        <f>IF(ISBLANK(Notifications!C17),"-",Notifications!C17)</f>
        <v>-</v>
      </c>
      <c r="D17" t="str">
        <f ca="1">IF(ISBLANK(Notifications!D17),"rg:None",TEXT(TODAY()+Notifications!D17,"YYYY-MM-DDTHH:mm:SS.000Z"))</f>
        <v>rg:None</v>
      </c>
      <c r="E17" t="str">
        <f ca="1">IF(ISBLANK(Notifications!E17),"rg:None",TEXT(TODAY()+Notifications!E17,"YYYY-MM-DDTHH:mm:SS.000Z"))</f>
        <v>rg:None</v>
      </c>
      <c r="F17" s="4" t="str">
        <f>IF(ISBLANK(Notifications!F17),"-",Notifications!F17)</f>
        <v>-</v>
      </c>
      <c r="G17" s="4" t="str">
        <f>IF(ISBLANK(Notifications!G17),"rg:[]","rg:['"&amp;Notifications!G17&amp;"']")</f>
        <v>rg:[]</v>
      </c>
      <c r="H17" s="4" t="str">
        <f>IF(ISBLANK(Notifications!H17),"rg:None","rg:{'name':'"&amp;VLOOKUP(Notifications!H17,team.csv!$B:$K,2,FALSE)&amp;"', 'email':'"&amp;Notifications!H17&amp;"'}")</f>
        <v>rg:None</v>
      </c>
      <c r="I17" s="4" t="str">
        <f>IF(ISBLANK(Notifications!I17),"rg:None","rg:{'name':'"&amp;VLOOKUP(Notifications!I17,team.csv!$B:$K,2,FALSE)&amp;"', 'address':'"&amp;VLOOKUP(Notifications!I17,team.csv!$B:$K,7,FALSE)&amp;"', 'city':'"&amp;VLOOKUP(Notifications!I17,team.csv!$B:$K,8,FALSE)&amp;"', 'prov':'"&amp;VLOOKUP(Notifications!I17,team.csv!$B:$K,9,FALSE)&amp;"', 'postal':'"&amp;VLOOKUP(Notifications!I17,team.csv!$B:$K,10,FALSE)&amp;"', 'tracking':True, 'dataSent': '"&amp;E16&amp;"'}")</f>
        <v>rg:None</v>
      </c>
    </row>
    <row r="18" spans="1:9" x14ac:dyDescent="0.35">
      <c r="A18" s="4" t="str">
        <f>IF(ISBLANK(Notifications!A18),"-",Notifications!A18)</f>
        <v>-</v>
      </c>
      <c r="B18" s="4" t="str">
        <f>IF(ISBLANK(Notifications!B18),"-",Notifications!B18)</f>
        <v>-</v>
      </c>
      <c r="C18" s="4" t="str">
        <f>IF(ISBLANK(Notifications!C18),"-",Notifications!C18)</f>
        <v>-</v>
      </c>
      <c r="D18" t="str">
        <f ca="1">IF(ISBLANK(Notifications!D18),"rg:None",TEXT(TODAY()+Notifications!D18,"YYYY-MM-DDTHH:mm:SS.000Z"))</f>
        <v>rg:None</v>
      </c>
      <c r="E18" t="str">
        <f ca="1">IF(ISBLANK(Notifications!E18),"rg:None",TEXT(TODAY()+Notifications!E18,"YYYY-MM-DDTHH:mm:SS.000Z"))</f>
        <v>rg:None</v>
      </c>
      <c r="F18" s="4" t="str">
        <f>IF(ISBLANK(Notifications!F18),"-",Notifications!F18)</f>
        <v>-</v>
      </c>
      <c r="G18" s="4" t="str">
        <f>IF(ISBLANK(Notifications!G18),"rg:[]","rg:['"&amp;Notifications!G18&amp;"']")</f>
        <v>rg:[]</v>
      </c>
      <c r="H18" s="4" t="str">
        <f>IF(ISBLANK(Notifications!H18),"rg:None","rg:{'name':'"&amp;VLOOKUP(Notifications!H18,team.csv!$B:$K,2,FALSE)&amp;"', 'email':'"&amp;Notifications!H18&amp;"'}")</f>
        <v>rg:None</v>
      </c>
      <c r="I18" s="4" t="str">
        <f>IF(ISBLANK(Notifications!I18),"rg:None","rg:{'name':'"&amp;VLOOKUP(Notifications!I18,team.csv!$B:$K,2,FALSE)&amp;"', 'address':'"&amp;VLOOKUP(Notifications!I18,team.csv!$B:$K,7,FALSE)&amp;"', 'city':'"&amp;VLOOKUP(Notifications!I18,team.csv!$B:$K,8,FALSE)&amp;"', 'prov':'"&amp;VLOOKUP(Notifications!I18,team.csv!$B:$K,9,FALSE)&amp;"', 'postal':'"&amp;VLOOKUP(Notifications!I18,team.csv!$B:$K,10,FALSE)&amp;"', 'tracking':True, 'dataSent': '"&amp;E17&amp;"'}")</f>
        <v>rg:None</v>
      </c>
    </row>
    <row r="19" spans="1:9" x14ac:dyDescent="0.35">
      <c r="A19" s="4" t="str">
        <f>IF(ISBLANK(Notifications!A19),"-",Notifications!A19)</f>
        <v>-</v>
      </c>
      <c r="B19" s="4" t="str">
        <f>IF(ISBLANK(Notifications!B19),"-",Notifications!B19)</f>
        <v>-</v>
      </c>
      <c r="C19" s="4" t="str">
        <f>IF(ISBLANK(Notifications!C19),"-",Notifications!C19)</f>
        <v>-</v>
      </c>
      <c r="D19" t="str">
        <f ca="1">IF(ISBLANK(Notifications!D19),"rg:None",TEXT(TODAY()+Notifications!D19,"YYYY-MM-DDTHH:mm:SS.000Z"))</f>
        <v>rg:None</v>
      </c>
      <c r="E19" t="str">
        <f ca="1">IF(ISBLANK(Notifications!E19),"rg:None",TEXT(TODAY()+Notifications!E19,"YYYY-MM-DDTHH:mm:SS.000Z"))</f>
        <v>rg:None</v>
      </c>
      <c r="F19" s="4" t="str">
        <f>IF(ISBLANK(Notifications!F19),"-",Notifications!F19)</f>
        <v>-</v>
      </c>
      <c r="G19" s="4" t="str">
        <f>IF(ISBLANK(Notifications!G19),"rg:[]","rg:['"&amp;Notifications!G19&amp;"']")</f>
        <v>rg:[]</v>
      </c>
      <c r="H19" s="4" t="str">
        <f>IF(ISBLANK(Notifications!H19),"rg:None","rg:{'name':'"&amp;VLOOKUP(Notifications!H19,team.csv!$B:$K,2,FALSE)&amp;"', 'email':'"&amp;Notifications!H19&amp;"'}")</f>
        <v>rg:None</v>
      </c>
      <c r="I19" s="4" t="str">
        <f>IF(ISBLANK(Notifications!I19),"rg:None","rg:{'name':'"&amp;VLOOKUP(Notifications!I19,team.csv!$B:$K,2,FALSE)&amp;"', 'address':'"&amp;VLOOKUP(Notifications!I19,team.csv!$B:$K,7,FALSE)&amp;"', 'city':'"&amp;VLOOKUP(Notifications!I19,team.csv!$B:$K,8,FALSE)&amp;"', 'prov':'"&amp;VLOOKUP(Notifications!I19,team.csv!$B:$K,9,FALSE)&amp;"', 'postal':'"&amp;VLOOKUP(Notifications!I19,team.csv!$B:$K,10,FALSE)&amp;"', 'tracking':True, 'dataSent': '"&amp;E18&amp;"'}")</f>
        <v>rg:None</v>
      </c>
    </row>
    <row r="20" spans="1:9" x14ac:dyDescent="0.35">
      <c r="A20" s="4" t="str">
        <f>IF(ISBLANK(Notifications!A20),"-",Notifications!A20)</f>
        <v>-</v>
      </c>
      <c r="B20" s="4" t="str">
        <f>IF(ISBLANK(Notifications!B20),"-",Notifications!B20)</f>
        <v>-</v>
      </c>
      <c r="C20" s="4" t="str">
        <f>IF(ISBLANK(Notifications!C20),"-",Notifications!C20)</f>
        <v>-</v>
      </c>
      <c r="D20" t="str">
        <f ca="1">IF(ISBLANK(Notifications!D20),"rg:None",TEXT(TODAY()+Notifications!D20,"YYYY-MM-DDTHH:mm:SS.000Z"))</f>
        <v>rg:None</v>
      </c>
      <c r="E20" t="str">
        <f ca="1">IF(ISBLANK(Notifications!E20),"rg:None",TEXT(TODAY()+Notifications!E20,"YYYY-MM-DDTHH:mm:SS.000Z"))</f>
        <v>rg:None</v>
      </c>
      <c r="F20" s="4" t="str">
        <f>IF(ISBLANK(Notifications!F20),"-",Notifications!F20)</f>
        <v>-</v>
      </c>
      <c r="G20" s="4" t="str">
        <f>IF(ISBLANK(Notifications!G20),"rg:[]","rg:['"&amp;Notifications!G20&amp;"']")</f>
        <v>rg:[]</v>
      </c>
      <c r="H20" s="4" t="str">
        <f>IF(ISBLANK(Notifications!H20),"rg:None","rg:{'name':'"&amp;VLOOKUP(Notifications!H20,team.csv!$B:$K,2,FALSE)&amp;"', 'email':'"&amp;Notifications!H20&amp;"'}")</f>
        <v>rg:None</v>
      </c>
      <c r="I20" s="4" t="str">
        <f>IF(ISBLANK(Notifications!I20),"rg:None","rg:{'name':'"&amp;VLOOKUP(Notifications!I20,team.csv!$B:$K,2,FALSE)&amp;"', 'address':'"&amp;VLOOKUP(Notifications!I20,team.csv!$B:$K,7,FALSE)&amp;"', 'city':'"&amp;VLOOKUP(Notifications!I20,team.csv!$B:$K,8,FALSE)&amp;"', 'prov':'"&amp;VLOOKUP(Notifications!I20,team.csv!$B:$K,9,FALSE)&amp;"', 'postal':'"&amp;VLOOKUP(Notifications!I20,team.csv!$B:$K,10,FALSE)&amp;"', 'tracking':True, 'dataSent': '"&amp;E19&amp;"'}")</f>
        <v>rg:None</v>
      </c>
    </row>
    <row r="21" spans="1:9" x14ac:dyDescent="0.35">
      <c r="A21" s="4" t="str">
        <f>IF(ISBLANK(Notifications!A21),"-",Notifications!A21)</f>
        <v>-</v>
      </c>
      <c r="B21" s="4" t="str">
        <f>IF(ISBLANK(Notifications!B21),"-",Notifications!B21)</f>
        <v>-</v>
      </c>
      <c r="C21" s="4" t="str">
        <f>IF(ISBLANK(Notifications!C21),"-",Notifications!C21)</f>
        <v>-</v>
      </c>
      <c r="D21" t="str">
        <f ca="1">IF(ISBLANK(Notifications!D21),"rg:None",TEXT(TODAY()+Notifications!D21,"YYYY-MM-DDTHH:mm:SS.000Z"))</f>
        <v>rg:None</v>
      </c>
      <c r="E21" t="str">
        <f ca="1">IF(ISBLANK(Notifications!E21),"rg:None",TEXT(TODAY()+Notifications!E21,"YYYY-MM-DDTHH:mm:SS.000Z"))</f>
        <v>rg:None</v>
      </c>
      <c r="F21" s="4" t="str">
        <f>IF(ISBLANK(Notifications!F21),"-",Notifications!F21)</f>
        <v>-</v>
      </c>
      <c r="G21" s="4" t="str">
        <f>IF(ISBLANK(Notifications!G21),"rg:[]","rg:['"&amp;Notifications!G21&amp;"']")</f>
        <v>rg:[]</v>
      </c>
      <c r="H21" s="4" t="str">
        <f>IF(ISBLANK(Notifications!H21),"rg:None","rg:{'name':'"&amp;VLOOKUP(Notifications!H21,team.csv!$B:$K,2,FALSE)&amp;"', 'email':'"&amp;Notifications!H21&amp;"'}")</f>
        <v>rg:None</v>
      </c>
      <c r="I21" s="4" t="str">
        <f>IF(ISBLANK(Notifications!I21),"rg:None","rg:{'name':'"&amp;VLOOKUP(Notifications!I21,team.csv!$B:$K,2,FALSE)&amp;"', 'address':'"&amp;VLOOKUP(Notifications!I21,team.csv!$B:$K,7,FALSE)&amp;"', 'city':'"&amp;VLOOKUP(Notifications!I21,team.csv!$B:$K,8,FALSE)&amp;"', 'prov':'"&amp;VLOOKUP(Notifications!I21,team.csv!$B:$K,9,FALSE)&amp;"', 'postal':'"&amp;VLOOKUP(Notifications!I21,team.csv!$B:$K,10,FALSE)&amp;"', 'tracking':True, 'dataSent': '"&amp;E20&amp;"'}")</f>
        <v>rg:None</v>
      </c>
    </row>
    <row r="22" spans="1:9" x14ac:dyDescent="0.35">
      <c r="A22" s="4" t="str">
        <f>IF(ISBLANK(Notifications!A22),"-",Notifications!A22)</f>
        <v>-</v>
      </c>
      <c r="B22" s="4" t="str">
        <f>IF(ISBLANK(Notifications!B22),"-",Notifications!B22)</f>
        <v>-</v>
      </c>
      <c r="C22" s="4" t="str">
        <f>IF(ISBLANK(Notifications!C22),"-",Notifications!C22)</f>
        <v>-</v>
      </c>
      <c r="D22" t="str">
        <f ca="1">IF(ISBLANK(Notifications!D22),"rg:None",TEXT(TODAY()+Notifications!D22,"YYYY-MM-DDTHH:mm:SS.000Z"))</f>
        <v>rg:None</v>
      </c>
      <c r="E22" t="str">
        <f ca="1">IF(ISBLANK(Notifications!E22),"rg:None",TEXT(TODAY()+Notifications!E22,"YYYY-MM-DDTHH:mm:SS.000Z"))</f>
        <v>rg:None</v>
      </c>
      <c r="F22" s="4" t="str">
        <f>IF(ISBLANK(Notifications!F22),"-",Notifications!F22)</f>
        <v>-</v>
      </c>
      <c r="G22" s="4" t="str">
        <f>IF(ISBLANK(Notifications!G22),"rg:[]","rg:['"&amp;Notifications!G22&amp;"']")</f>
        <v>rg:[]</v>
      </c>
      <c r="H22" s="4" t="str">
        <f>IF(ISBLANK(Notifications!H22),"rg:None","rg:{'name':'"&amp;VLOOKUP(Notifications!H22,team.csv!$B:$K,2,FALSE)&amp;"', 'email':'"&amp;Notifications!H22&amp;"'}")</f>
        <v>rg:None</v>
      </c>
      <c r="I22" s="4" t="str">
        <f>IF(ISBLANK(Notifications!I22),"rg:None","rg:{'name':'"&amp;VLOOKUP(Notifications!I22,team.csv!$B:$K,2,FALSE)&amp;"', 'address':'"&amp;VLOOKUP(Notifications!I22,team.csv!$B:$K,7,FALSE)&amp;"', 'city':'"&amp;VLOOKUP(Notifications!I22,team.csv!$B:$K,8,FALSE)&amp;"', 'prov':'"&amp;VLOOKUP(Notifications!I22,team.csv!$B:$K,9,FALSE)&amp;"', 'postal':'"&amp;VLOOKUP(Notifications!I22,team.csv!$B:$K,10,FALSE)&amp;"', 'tracking':True, 'dataSent': '"&amp;E21&amp;"'}")</f>
        <v>rg:None</v>
      </c>
    </row>
    <row r="23" spans="1:9" x14ac:dyDescent="0.35">
      <c r="A23" s="4" t="str">
        <f>IF(ISBLANK(Notifications!A23),"-",Notifications!A23)</f>
        <v>-</v>
      </c>
      <c r="B23" s="4" t="str">
        <f>IF(ISBLANK(Notifications!B23),"-",Notifications!B23)</f>
        <v>-</v>
      </c>
      <c r="C23" s="4" t="str">
        <f>IF(ISBLANK(Notifications!C23),"-",Notifications!C23)</f>
        <v>-</v>
      </c>
      <c r="D23" t="str">
        <f ca="1">IF(ISBLANK(Notifications!D23),"rg:None",TEXT(TODAY()+Notifications!D23,"YYYY-MM-DDTHH:mm:SS.000Z"))</f>
        <v>rg:None</v>
      </c>
      <c r="E23" t="str">
        <f ca="1">IF(ISBLANK(Notifications!E23),"rg:None",TEXT(TODAY()+Notifications!E23,"YYYY-MM-DDTHH:mm:SS.000Z"))</f>
        <v>rg:None</v>
      </c>
      <c r="F23" s="4" t="str">
        <f>IF(ISBLANK(Notifications!F23),"-",Notifications!F23)</f>
        <v>-</v>
      </c>
      <c r="G23" s="4" t="str">
        <f>IF(ISBLANK(Notifications!G23),"rg:[]","rg:['"&amp;Notifications!G23&amp;"']")</f>
        <v>rg:[]</v>
      </c>
      <c r="H23" s="4" t="str">
        <f>IF(ISBLANK(Notifications!H23),"rg:None","rg:{'name':'"&amp;VLOOKUP(Notifications!H23,team.csv!$B:$K,2,FALSE)&amp;"', 'email':'"&amp;Notifications!H23&amp;"'}")</f>
        <v>rg:None</v>
      </c>
      <c r="I23" s="4" t="str">
        <f>IF(ISBLANK(Notifications!I23),"rg:None","rg:{'name':'"&amp;VLOOKUP(Notifications!I23,team.csv!$B:$K,2,FALSE)&amp;"', 'address':'"&amp;VLOOKUP(Notifications!I23,team.csv!$B:$K,7,FALSE)&amp;"', 'city':'"&amp;VLOOKUP(Notifications!I23,team.csv!$B:$K,8,FALSE)&amp;"', 'prov':'"&amp;VLOOKUP(Notifications!I23,team.csv!$B:$K,9,FALSE)&amp;"', 'postal':'"&amp;VLOOKUP(Notifications!I23,team.csv!$B:$K,10,FALSE)&amp;"', 'tracking':True, 'dataSent': '"&amp;E22&amp;"'}")</f>
        <v>rg:None</v>
      </c>
    </row>
    <row r="24" spans="1:9" x14ac:dyDescent="0.35">
      <c r="A24" s="4" t="str">
        <f>IF(ISBLANK(Notifications!A24),"-",Notifications!A24)</f>
        <v>-</v>
      </c>
      <c r="B24" s="4" t="str">
        <f>IF(ISBLANK(Notifications!B24),"-",Notifications!B24)</f>
        <v>-</v>
      </c>
      <c r="C24" s="4" t="str">
        <f>IF(ISBLANK(Notifications!C24),"-",Notifications!C24)</f>
        <v>-</v>
      </c>
      <c r="D24" t="str">
        <f ca="1">IF(ISBLANK(Notifications!D24),"rg:None",TEXT(TODAY()+Notifications!D24,"YYYY-MM-DDTHH:mm:SS.000Z"))</f>
        <v>rg:None</v>
      </c>
      <c r="E24" t="str">
        <f ca="1">IF(ISBLANK(Notifications!E24),"rg:None",TEXT(TODAY()+Notifications!E24,"YYYY-MM-DDTHH:mm:SS.000Z"))</f>
        <v>rg:None</v>
      </c>
      <c r="F24" s="4" t="str">
        <f>IF(ISBLANK(Notifications!F24),"-",Notifications!F24)</f>
        <v>-</v>
      </c>
      <c r="G24" s="4" t="str">
        <f>IF(ISBLANK(Notifications!G24),"rg:[]","rg:['"&amp;Notifications!G24&amp;"']")</f>
        <v>rg:[]</v>
      </c>
      <c r="H24" s="4" t="str">
        <f>IF(ISBLANK(Notifications!H24),"rg:None","rg:{'name':'"&amp;VLOOKUP(Notifications!H24,team.csv!$B:$K,2,FALSE)&amp;"', 'email':'"&amp;Notifications!H24&amp;"'}")</f>
        <v>rg:None</v>
      </c>
      <c r="I24" s="4" t="str">
        <f>IF(ISBLANK(Notifications!I24),"rg:None","rg:{'name':'"&amp;VLOOKUP(Notifications!I24,team.csv!$B:$K,2,FALSE)&amp;"', 'address':'"&amp;VLOOKUP(Notifications!I24,team.csv!$B:$K,7,FALSE)&amp;"', 'city':'"&amp;VLOOKUP(Notifications!I24,team.csv!$B:$K,8,FALSE)&amp;"', 'prov':'"&amp;VLOOKUP(Notifications!I24,team.csv!$B:$K,9,FALSE)&amp;"', 'postal':'"&amp;VLOOKUP(Notifications!I24,team.csv!$B:$K,10,FALSE)&amp;"', 'tracking':True, 'dataSent': '"&amp;E23&amp;"'}")</f>
        <v>rg:None</v>
      </c>
    </row>
    <row r="25" spans="1:9" x14ac:dyDescent="0.35">
      <c r="A25" s="4" t="str">
        <f>IF(ISBLANK(Notifications!A25),"-",Notifications!A25)</f>
        <v>-</v>
      </c>
      <c r="B25" s="4" t="str">
        <f>IF(ISBLANK(Notifications!B25),"-",Notifications!B25)</f>
        <v>-</v>
      </c>
      <c r="C25" s="4" t="str">
        <f>IF(ISBLANK(Notifications!C25),"-",Notifications!C25)</f>
        <v>-</v>
      </c>
      <c r="D25" t="str">
        <f ca="1">IF(ISBLANK(Notifications!D25),"rg:None",TEXT(TODAY()+Notifications!D25,"YYYY-MM-DDTHH:mm:SS.000Z"))</f>
        <v>rg:None</v>
      </c>
      <c r="E25" t="str">
        <f ca="1">IF(ISBLANK(Notifications!E25),"rg:None",TEXT(TODAY()+Notifications!E25,"YYYY-MM-DDTHH:mm:SS.000Z"))</f>
        <v>rg:None</v>
      </c>
      <c r="F25" s="4" t="str">
        <f>IF(ISBLANK(Notifications!F25),"-",Notifications!F25)</f>
        <v>-</v>
      </c>
      <c r="G25" s="4" t="str">
        <f>IF(ISBLANK(Notifications!G25),"rg:[]","rg:['"&amp;Notifications!G25&amp;"']")</f>
        <v>rg:[]</v>
      </c>
      <c r="H25" s="4" t="str">
        <f>IF(ISBLANK(Notifications!H25),"rg:None","rg:{'name':'"&amp;VLOOKUP(Notifications!H25,team.csv!$B:$K,2,FALSE)&amp;"', 'email':'"&amp;Notifications!H25&amp;"'}")</f>
        <v>rg:None</v>
      </c>
      <c r="I25" s="4" t="str">
        <f>IF(ISBLANK(Notifications!I25),"rg:None","rg:{'name':'"&amp;VLOOKUP(Notifications!I25,team.csv!$B:$K,2,FALSE)&amp;"', 'address':'"&amp;VLOOKUP(Notifications!I25,team.csv!$B:$K,7,FALSE)&amp;"', 'city':'"&amp;VLOOKUP(Notifications!I25,team.csv!$B:$K,8,FALSE)&amp;"', 'prov':'"&amp;VLOOKUP(Notifications!I25,team.csv!$B:$K,9,FALSE)&amp;"', 'postal':'"&amp;VLOOKUP(Notifications!I25,team.csv!$B:$K,10,FALSE)&amp;"', 'tracking':True, 'dataSent': '"&amp;E24&amp;"'}")</f>
        <v>rg:None</v>
      </c>
    </row>
    <row r="26" spans="1:9" x14ac:dyDescent="0.35">
      <c r="A26" s="4" t="str">
        <f>IF(ISBLANK(Notifications!A26),"-",Notifications!A26)</f>
        <v>-</v>
      </c>
      <c r="B26" s="4" t="str">
        <f>IF(ISBLANK(Notifications!B26),"-",Notifications!B26)</f>
        <v>-</v>
      </c>
      <c r="C26" s="4" t="str">
        <f>IF(ISBLANK(Notifications!C26),"-",Notifications!C26)</f>
        <v>-</v>
      </c>
      <c r="D26" t="str">
        <f ca="1">IF(ISBLANK(Notifications!D26),"rg:None",TEXT(TODAY()+Notifications!D26,"YYYY-MM-DDTHH:mm:SS.000Z"))</f>
        <v>rg:None</v>
      </c>
      <c r="E26" t="str">
        <f ca="1">IF(ISBLANK(Notifications!E26),"rg:None",TEXT(TODAY()+Notifications!E26,"YYYY-MM-DDTHH:mm:SS.000Z"))</f>
        <v>rg:None</v>
      </c>
      <c r="F26" s="4" t="str">
        <f>IF(ISBLANK(Notifications!F26),"-",Notifications!F26)</f>
        <v>-</v>
      </c>
      <c r="G26" s="4" t="str">
        <f>IF(ISBLANK(Notifications!G26),"rg:[]","rg:['"&amp;Notifications!G26&amp;"']")</f>
        <v>rg:[]</v>
      </c>
      <c r="H26" s="4" t="str">
        <f>IF(ISBLANK(Notifications!H26),"rg:None","rg:{'name':'"&amp;VLOOKUP(Notifications!H26,team.csv!$B:$K,2,FALSE)&amp;"', 'email':'"&amp;Notifications!H26&amp;"'}")</f>
        <v>rg:None</v>
      </c>
      <c r="I26" s="4" t="str">
        <f>IF(ISBLANK(Notifications!I26),"rg:None","rg:{'name':'"&amp;VLOOKUP(Notifications!I26,team.csv!$B:$K,2,FALSE)&amp;"', 'address':'"&amp;VLOOKUP(Notifications!I26,team.csv!$B:$K,7,FALSE)&amp;"', 'city':'"&amp;VLOOKUP(Notifications!I26,team.csv!$B:$K,8,FALSE)&amp;"', 'prov':'"&amp;VLOOKUP(Notifications!I26,team.csv!$B:$K,9,FALSE)&amp;"', 'postal':'"&amp;VLOOKUP(Notifications!I26,team.csv!$B:$K,10,FALSE)&amp;"', 'tracking':True, 'dataSent': '"&amp;E25&amp;"'}")</f>
        <v>rg:None</v>
      </c>
    </row>
    <row r="27" spans="1:9" x14ac:dyDescent="0.35">
      <c r="A27" s="4" t="str">
        <f>IF(ISBLANK(Notifications!A27),"-",Notifications!A27)</f>
        <v>-</v>
      </c>
      <c r="B27" s="4" t="str">
        <f>IF(ISBLANK(Notifications!B27),"-",Notifications!B27)</f>
        <v>-</v>
      </c>
      <c r="C27" s="4" t="str">
        <f>IF(ISBLANK(Notifications!C27),"-",Notifications!C27)</f>
        <v>-</v>
      </c>
      <c r="D27" t="str">
        <f ca="1">IF(ISBLANK(Notifications!D27),"rg:None",TEXT(TODAY()+Notifications!D27,"YYYY-MM-DDTHH:mm:SS.000Z"))</f>
        <v>rg:None</v>
      </c>
      <c r="E27" t="str">
        <f ca="1">IF(ISBLANK(Notifications!E27),"rg:None",TEXT(TODAY()+Notifications!E27,"YYYY-MM-DDTHH:mm:SS.000Z"))</f>
        <v>rg:None</v>
      </c>
      <c r="F27" s="4" t="str">
        <f>IF(ISBLANK(Notifications!F27),"-",Notifications!F27)</f>
        <v>-</v>
      </c>
      <c r="G27" s="4" t="str">
        <f>IF(ISBLANK(Notifications!G27),"rg:[]","rg:['"&amp;Notifications!G27&amp;"']")</f>
        <v>rg:[]</v>
      </c>
      <c r="H27" s="4" t="str">
        <f>IF(ISBLANK(Notifications!H27),"rg:None","rg:{'name':'"&amp;VLOOKUP(Notifications!H27,team.csv!$B:$K,2,FALSE)&amp;"', 'email':'"&amp;Notifications!H27&amp;"'}")</f>
        <v>rg:None</v>
      </c>
      <c r="I27" s="4" t="str">
        <f>IF(ISBLANK(Notifications!I27),"rg:None","rg:{'name':'"&amp;VLOOKUP(Notifications!I27,team.csv!$B:$K,2,FALSE)&amp;"', 'address':'"&amp;VLOOKUP(Notifications!I27,team.csv!$B:$K,7,FALSE)&amp;"', 'city':'"&amp;VLOOKUP(Notifications!I27,team.csv!$B:$K,8,FALSE)&amp;"', 'prov':'"&amp;VLOOKUP(Notifications!I27,team.csv!$B:$K,9,FALSE)&amp;"', 'postal':'"&amp;VLOOKUP(Notifications!I27,team.csv!$B:$K,10,FALSE)&amp;"', 'tracking':True, 'dataSent': '"&amp;E26&amp;"'}")</f>
        <v>rg:None</v>
      </c>
    </row>
    <row r="28" spans="1:9" x14ac:dyDescent="0.35">
      <c r="A28" s="4" t="str">
        <f>IF(ISBLANK(Notifications!A28),"-",Notifications!A28)</f>
        <v>-</v>
      </c>
      <c r="B28" s="4" t="str">
        <f>IF(ISBLANK(Notifications!B28),"-",Notifications!B28)</f>
        <v>-</v>
      </c>
      <c r="C28" s="4" t="str">
        <f>IF(ISBLANK(Notifications!C28),"-",Notifications!C28)</f>
        <v>-</v>
      </c>
      <c r="D28" t="str">
        <f ca="1">IF(ISBLANK(Notifications!D28),"rg:None",TEXT(TODAY()+Notifications!D28,"YYYY-MM-DDTHH:mm:SS.000Z"))</f>
        <v>rg:None</v>
      </c>
      <c r="E28" t="str">
        <f ca="1">IF(ISBLANK(Notifications!E28),"rg:None",TEXT(TODAY()+Notifications!E28,"YYYY-MM-DDTHH:mm:SS.000Z"))</f>
        <v>rg:None</v>
      </c>
      <c r="F28" s="4" t="str">
        <f>IF(ISBLANK(Notifications!F28),"-",Notifications!F28)</f>
        <v>-</v>
      </c>
      <c r="G28" s="4" t="str">
        <f>IF(ISBLANK(Notifications!G28),"rg:[]","rg:['"&amp;Notifications!G28&amp;"']")</f>
        <v>rg:[]</v>
      </c>
      <c r="H28" s="4" t="str">
        <f>IF(ISBLANK(Notifications!H28),"rg:None","rg:{'name':'"&amp;VLOOKUP(Notifications!H28,team.csv!$B:$K,2,FALSE)&amp;"', 'email':'"&amp;Notifications!H28&amp;"'}")</f>
        <v>rg:None</v>
      </c>
      <c r="I28" s="4" t="str">
        <f>IF(ISBLANK(Notifications!I28),"rg:None","rg:{'name':'"&amp;VLOOKUP(Notifications!I28,team.csv!$B:$K,2,FALSE)&amp;"', 'address':'"&amp;VLOOKUP(Notifications!I28,team.csv!$B:$K,7,FALSE)&amp;"', 'city':'"&amp;VLOOKUP(Notifications!I28,team.csv!$B:$K,8,FALSE)&amp;"', 'prov':'"&amp;VLOOKUP(Notifications!I28,team.csv!$B:$K,9,FALSE)&amp;"', 'postal':'"&amp;VLOOKUP(Notifications!I28,team.csv!$B:$K,10,FALSE)&amp;"', 'tracking':True, 'dataSent': '"&amp;E27&amp;"'}")</f>
        <v>rg:None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8"/>
  <sheetViews>
    <sheetView workbookViewId="0">
      <selection activeCell="G2" sqref="G2"/>
    </sheetView>
  </sheetViews>
  <sheetFormatPr defaultRowHeight="15.5" x14ac:dyDescent="0.35"/>
  <cols>
    <col min="2" max="2" width="10.6640625" bestFit="1" customWidth="1"/>
    <col min="3" max="3" width="13" bestFit="1" customWidth="1"/>
  </cols>
  <sheetData>
    <row r="1" spans="1:11" x14ac:dyDescent="0.35">
      <c r="A1" t="s">
        <v>0</v>
      </c>
      <c r="B1" t="s">
        <v>1</v>
      </c>
      <c r="C1" t="s">
        <v>118</v>
      </c>
      <c r="D1" t="s">
        <v>119</v>
      </c>
      <c r="E1" t="s">
        <v>120</v>
      </c>
      <c r="F1" t="s">
        <v>123</v>
      </c>
      <c r="G1" t="s">
        <v>121</v>
      </c>
      <c r="H1" t="s">
        <v>124</v>
      </c>
      <c r="I1" t="s">
        <v>122</v>
      </c>
      <c r="J1" t="s">
        <v>72</v>
      </c>
      <c r="K1" t="s">
        <v>109</v>
      </c>
    </row>
    <row r="2" spans="1:11" x14ac:dyDescent="0.35">
      <c r="A2" t="str">
        <f>IF(ISBLANK('Public Comments'!A2),"-",'Public Comments'!A2)</f>
        <v>knob</v>
      </c>
      <c r="B2" t="str">
        <f>"com"&amp;TEXT(ROW(),"0000")</f>
        <v>com0002</v>
      </c>
      <c r="C2" t="str">
        <f>IF(ISBLANK('Public Comments'!B2),"-",'Public Comments'!B2)</f>
        <v>Linda Peterson</v>
      </c>
      <c r="D2" t="str">
        <f>IF(ISBLANK('Public Comments'!C2),"-",'Public Comments'!C2)</f>
        <v>knobcomment</v>
      </c>
      <c r="E2" t="str">
        <f>IF(ISBLANK('Public Comments'!D2),"-",'Public Comments'!D2)</f>
        <v>This project will drastically impact the Bat Population in this region.</v>
      </c>
      <c r="F2" t="str">
        <f>IF('Public Comments'!E2 = "Yes","rg:True", "rg:False")</f>
        <v>rg:False</v>
      </c>
      <c r="G2" t="str">
        <f ca="1">IF(ISBLANK('Public Comments'!F2),"rg:None",TEXT(TODAY()+'Public Comments'!F2,"YYYY-MM-DDTHH:mm:SS.000Z"))</f>
        <v>2014-08-25T00:00:00.000Z</v>
      </c>
      <c r="H2" t="str">
        <f>"rg:{'_id': '"&amp;'Public Comments'!G2&amp;"'}"</f>
        <v>rg:{'_id': 'RandyIConrad@dayrep.com'}</v>
      </c>
      <c r="I2" t="str">
        <f ca="1">IF(ISBLANK('Public Comments'!H2),"rg:None",TEXT(TODAY()+'Public Comments'!H2,"YYYY-MM-DDTHH:mm:SS.000Z"))</f>
        <v>2014-10-16T00:00:00.000Z</v>
      </c>
      <c r="J2" t="s">
        <v>112</v>
      </c>
      <c r="K2" t="s">
        <v>112</v>
      </c>
    </row>
    <row r="3" spans="1:11" x14ac:dyDescent="0.35">
      <c r="A3" t="str">
        <f>IF(ISBLANK('Public Comments'!A3),"-",'Public Comments'!A3)</f>
        <v>-</v>
      </c>
      <c r="B3" t="str">
        <f t="shared" ref="B3:B28" si="0">"com"&amp;TEXT(ROW(),"0000")</f>
        <v>com0003</v>
      </c>
      <c r="C3" t="str">
        <f>IF(ISBLANK('Public Comments'!B3),"-",'Public Comments'!B3)</f>
        <v>-</v>
      </c>
      <c r="D3" t="str">
        <f>IF(ISBLANK('Public Comments'!C3),"-",'Public Comments'!C3)</f>
        <v>-</v>
      </c>
      <c r="E3" t="str">
        <f>IF(ISBLANK('Public Comments'!D3),"-",'Public Comments'!D3)</f>
        <v>-</v>
      </c>
      <c r="F3" t="str">
        <f>IF('Public Comments'!E3 = "Yes","rg:True", "rg:False")</f>
        <v>rg:False</v>
      </c>
      <c r="G3" t="str">
        <f ca="1">IF(ISBLANK('Public Comments'!F3),"rg:None",TEXT(TODAY()+'Public Comments'!F3,"YYYY-MM-DDTHH:mm:SS.000Z"))</f>
        <v>rg:None</v>
      </c>
      <c r="H3" t="str">
        <f>"rg:{'_id': '"&amp;'Public Comments'!G3&amp;"'}"</f>
        <v>rg:{'_id': ''}</v>
      </c>
      <c r="I3" t="str">
        <f ca="1">IF(ISBLANK('Public Comments'!H3),"rg:None",TEXT(TODAY()+'Public Comments'!H3,"YYYY-MM-DDTHH:mm:SS.000Z"))</f>
        <v>rg:None</v>
      </c>
      <c r="J3" t="s">
        <v>112</v>
      </c>
      <c r="K3" t="s">
        <v>112</v>
      </c>
    </row>
    <row r="4" spans="1:11" x14ac:dyDescent="0.35">
      <c r="A4" t="str">
        <f>IF(ISBLANK('Public Comments'!A4),"-",'Public Comments'!A4)</f>
        <v>-</v>
      </c>
      <c r="B4" t="str">
        <f t="shared" si="0"/>
        <v>com0004</v>
      </c>
      <c r="C4" t="str">
        <f>IF(ISBLANK('Public Comments'!B4),"-",'Public Comments'!B4)</f>
        <v>-</v>
      </c>
      <c r="D4" t="str">
        <f>IF(ISBLANK('Public Comments'!C4),"-",'Public Comments'!C4)</f>
        <v>-</v>
      </c>
      <c r="E4" t="str">
        <f>IF(ISBLANK('Public Comments'!D4),"-",'Public Comments'!D4)</f>
        <v>-</v>
      </c>
      <c r="F4" t="str">
        <f>IF('Public Comments'!E4 = "Yes","rg:True", "rg:False")</f>
        <v>rg:False</v>
      </c>
      <c r="G4" t="str">
        <f ca="1">IF(ISBLANK('Public Comments'!F4),"rg:None",TEXT(TODAY()+'Public Comments'!F4,"YYYY-MM-DDTHH:mm:SS.000Z"))</f>
        <v>rg:None</v>
      </c>
      <c r="H4" t="str">
        <f>"rg:{'_id': '"&amp;'Public Comments'!G4&amp;"'}"</f>
        <v>rg:{'_id': ''}</v>
      </c>
      <c r="I4" t="str">
        <f ca="1">IF(ISBLANK('Public Comments'!H4),"rg:None",TEXT(TODAY()+'Public Comments'!H4,"YYYY-MM-DDTHH:mm:SS.000Z"))</f>
        <v>rg:None</v>
      </c>
      <c r="J4" t="s">
        <v>112</v>
      </c>
      <c r="K4" t="s">
        <v>112</v>
      </c>
    </row>
    <row r="5" spans="1:11" x14ac:dyDescent="0.35">
      <c r="A5" t="str">
        <f>IF(ISBLANK('Public Comments'!A5),"-",'Public Comments'!A5)</f>
        <v>-</v>
      </c>
      <c r="B5" t="str">
        <f t="shared" si="0"/>
        <v>com0005</v>
      </c>
      <c r="C5" t="str">
        <f>IF(ISBLANK('Public Comments'!B5),"-",'Public Comments'!B5)</f>
        <v>-</v>
      </c>
      <c r="D5" t="str">
        <f>IF(ISBLANK('Public Comments'!C5),"-",'Public Comments'!C5)</f>
        <v>-</v>
      </c>
      <c r="E5" t="str">
        <f>IF(ISBLANK('Public Comments'!D5),"-",'Public Comments'!D5)</f>
        <v>-</v>
      </c>
      <c r="F5" t="str">
        <f>IF('Public Comments'!E5 = "Yes","rg:True", "rg:False")</f>
        <v>rg:False</v>
      </c>
      <c r="G5" t="str">
        <f ca="1">IF(ISBLANK('Public Comments'!F5),"rg:None",TEXT(TODAY()+'Public Comments'!F5,"YYYY-MM-DDTHH:mm:SS.000Z"))</f>
        <v>rg:None</v>
      </c>
      <c r="H5" t="str">
        <f>"rg:{'_id': '"&amp;'Public Comments'!G5&amp;"'}"</f>
        <v>rg:{'_id': ''}</v>
      </c>
      <c r="I5" t="str">
        <f ca="1">IF(ISBLANK('Public Comments'!H5),"rg:None",TEXT(TODAY()+'Public Comments'!H5,"YYYY-MM-DDTHH:mm:SS.000Z"))</f>
        <v>rg:None</v>
      </c>
      <c r="J5" t="s">
        <v>112</v>
      </c>
      <c r="K5" t="s">
        <v>112</v>
      </c>
    </row>
    <row r="6" spans="1:11" x14ac:dyDescent="0.35">
      <c r="A6" t="str">
        <f>IF(ISBLANK('Public Comments'!A6),"-",'Public Comments'!A6)</f>
        <v>-</v>
      </c>
      <c r="B6" t="str">
        <f t="shared" si="0"/>
        <v>com0006</v>
      </c>
      <c r="C6" t="str">
        <f>IF(ISBLANK('Public Comments'!B6),"-",'Public Comments'!B6)</f>
        <v>-</v>
      </c>
      <c r="D6" t="str">
        <f>IF(ISBLANK('Public Comments'!C6),"-",'Public Comments'!C6)</f>
        <v>-</v>
      </c>
      <c r="E6" t="str">
        <f>IF(ISBLANK('Public Comments'!D6),"-",'Public Comments'!D6)</f>
        <v>-</v>
      </c>
      <c r="F6" t="str">
        <f>IF('Public Comments'!E6 = "Yes","rg:True", "rg:False")</f>
        <v>rg:False</v>
      </c>
      <c r="G6" t="str">
        <f ca="1">IF(ISBLANK('Public Comments'!F6),"rg:None",TEXT(TODAY()+'Public Comments'!F6,"YYYY-MM-DDTHH:mm:SS.000Z"))</f>
        <v>rg:None</v>
      </c>
      <c r="H6" t="str">
        <f>"rg:{'_id': '"&amp;'Public Comments'!G6&amp;"'}"</f>
        <v>rg:{'_id': ''}</v>
      </c>
      <c r="I6" t="str">
        <f ca="1">IF(ISBLANK('Public Comments'!H6),"rg:None",TEXT(TODAY()+'Public Comments'!H6,"YYYY-MM-DDTHH:mm:SS.000Z"))</f>
        <v>rg:None</v>
      </c>
      <c r="J6" t="s">
        <v>112</v>
      </c>
      <c r="K6" t="s">
        <v>112</v>
      </c>
    </row>
    <row r="7" spans="1:11" x14ac:dyDescent="0.35">
      <c r="A7" t="str">
        <f>IF(ISBLANK('Public Comments'!A7),"-",'Public Comments'!A7)</f>
        <v>-</v>
      </c>
      <c r="B7" t="str">
        <f t="shared" si="0"/>
        <v>com0007</v>
      </c>
      <c r="C7" t="str">
        <f>IF(ISBLANK('Public Comments'!B7),"-",'Public Comments'!B7)</f>
        <v>-</v>
      </c>
      <c r="D7" t="str">
        <f>IF(ISBLANK('Public Comments'!C7),"-",'Public Comments'!C7)</f>
        <v>-</v>
      </c>
      <c r="E7" t="str">
        <f>IF(ISBLANK('Public Comments'!D7),"-",'Public Comments'!D7)</f>
        <v>-</v>
      </c>
      <c r="F7" t="str">
        <f>IF('Public Comments'!E7 = "Yes","rg:True", "rg:False")</f>
        <v>rg:False</v>
      </c>
      <c r="G7" t="str">
        <f ca="1">IF(ISBLANK('Public Comments'!F7),"rg:None",TEXT(TODAY()+'Public Comments'!F7,"YYYY-MM-DDTHH:mm:SS.000Z"))</f>
        <v>rg:None</v>
      </c>
      <c r="H7" t="str">
        <f>"rg:{'_id': '"&amp;'Public Comments'!G7&amp;"'}"</f>
        <v>rg:{'_id': ''}</v>
      </c>
      <c r="I7" t="str">
        <f ca="1">IF(ISBLANK('Public Comments'!H7),"rg:None",TEXT(TODAY()+'Public Comments'!H7,"YYYY-MM-DDTHH:mm:SS.000Z"))</f>
        <v>rg:None</v>
      </c>
      <c r="J7" t="s">
        <v>112</v>
      </c>
      <c r="K7" t="s">
        <v>112</v>
      </c>
    </row>
    <row r="8" spans="1:11" x14ac:dyDescent="0.35">
      <c r="A8" t="str">
        <f>IF(ISBLANK('Public Comments'!A8),"-",'Public Comments'!A8)</f>
        <v>-</v>
      </c>
      <c r="B8" t="str">
        <f t="shared" si="0"/>
        <v>com0008</v>
      </c>
      <c r="C8" t="str">
        <f>IF(ISBLANK('Public Comments'!B8),"-",'Public Comments'!B8)</f>
        <v>-</v>
      </c>
      <c r="D8" t="str">
        <f>IF(ISBLANK('Public Comments'!C8),"-",'Public Comments'!C8)</f>
        <v>-</v>
      </c>
      <c r="E8" t="str">
        <f>IF(ISBLANK('Public Comments'!D8),"-",'Public Comments'!D8)</f>
        <v>-</v>
      </c>
      <c r="F8" t="str">
        <f>IF('Public Comments'!E8 = "Yes","rg:True", "rg:False")</f>
        <v>rg:False</v>
      </c>
      <c r="G8" t="str">
        <f ca="1">IF(ISBLANK('Public Comments'!F8),"rg:None",TEXT(TODAY()+'Public Comments'!F8,"YYYY-MM-DDTHH:mm:SS.000Z"))</f>
        <v>rg:None</v>
      </c>
      <c r="H8" t="str">
        <f>"rg:{'_id': '"&amp;'Public Comments'!G8&amp;"'}"</f>
        <v>rg:{'_id': ''}</v>
      </c>
      <c r="I8" t="str">
        <f ca="1">IF(ISBLANK('Public Comments'!H8),"rg:None",TEXT(TODAY()+'Public Comments'!H8,"YYYY-MM-DDTHH:mm:SS.000Z"))</f>
        <v>rg:None</v>
      </c>
      <c r="J8" t="s">
        <v>112</v>
      </c>
      <c r="K8" t="s">
        <v>112</v>
      </c>
    </row>
    <row r="9" spans="1:11" x14ac:dyDescent="0.35">
      <c r="A9" t="str">
        <f>IF(ISBLANK('Public Comments'!A9),"-",'Public Comments'!A9)</f>
        <v>-</v>
      </c>
      <c r="B9" t="str">
        <f t="shared" si="0"/>
        <v>com0009</v>
      </c>
      <c r="C9" t="str">
        <f>IF(ISBLANK('Public Comments'!B9),"-",'Public Comments'!B9)</f>
        <v>-</v>
      </c>
      <c r="D9" t="str">
        <f>IF(ISBLANK('Public Comments'!C9),"-",'Public Comments'!C9)</f>
        <v>-</v>
      </c>
      <c r="E9" t="str">
        <f>IF(ISBLANK('Public Comments'!D9),"-",'Public Comments'!D9)</f>
        <v>-</v>
      </c>
      <c r="F9" t="str">
        <f>IF('Public Comments'!E9 = "Yes","rg:True", "rg:False")</f>
        <v>rg:False</v>
      </c>
      <c r="G9" t="str">
        <f ca="1">IF(ISBLANK('Public Comments'!F9),"rg:None",TEXT(TODAY()+'Public Comments'!F9,"YYYY-MM-DDTHH:mm:SS.000Z"))</f>
        <v>rg:None</v>
      </c>
      <c r="H9" t="str">
        <f>"rg:{'_id': '"&amp;'Public Comments'!G9&amp;"'}"</f>
        <v>rg:{'_id': ''}</v>
      </c>
      <c r="I9" t="str">
        <f ca="1">IF(ISBLANK('Public Comments'!H9),"rg:None",TEXT(TODAY()+'Public Comments'!H9,"YYYY-MM-DDTHH:mm:SS.000Z"))</f>
        <v>rg:None</v>
      </c>
      <c r="J9" t="s">
        <v>112</v>
      </c>
      <c r="K9" t="s">
        <v>112</v>
      </c>
    </row>
    <row r="10" spans="1:11" x14ac:dyDescent="0.35">
      <c r="A10" t="str">
        <f>IF(ISBLANK('Public Comments'!A10),"-",'Public Comments'!A10)</f>
        <v>-</v>
      </c>
      <c r="B10" t="str">
        <f t="shared" si="0"/>
        <v>com0010</v>
      </c>
      <c r="C10" t="str">
        <f>IF(ISBLANK('Public Comments'!B10),"-",'Public Comments'!B10)</f>
        <v>-</v>
      </c>
      <c r="D10" t="str">
        <f>IF(ISBLANK('Public Comments'!C10),"-",'Public Comments'!C10)</f>
        <v>-</v>
      </c>
      <c r="E10" t="str">
        <f>IF(ISBLANK('Public Comments'!D10),"-",'Public Comments'!D10)</f>
        <v>-</v>
      </c>
      <c r="F10" t="str">
        <f>IF('Public Comments'!E10 = "Yes","rg:True", "rg:False")</f>
        <v>rg:False</v>
      </c>
      <c r="G10" t="str">
        <f ca="1">IF(ISBLANK('Public Comments'!F10),"rg:None",TEXT(TODAY()+'Public Comments'!F10,"YYYY-MM-DDTHH:mm:SS.000Z"))</f>
        <v>rg:None</v>
      </c>
      <c r="H10" t="str">
        <f>"rg:{'_id': '"&amp;'Public Comments'!G10&amp;"'}"</f>
        <v>rg:{'_id': ''}</v>
      </c>
      <c r="I10" t="str">
        <f ca="1">IF(ISBLANK('Public Comments'!H10),"rg:None",TEXT(TODAY()+'Public Comments'!H10,"YYYY-MM-DDTHH:mm:SS.000Z"))</f>
        <v>rg:None</v>
      </c>
      <c r="J10" t="s">
        <v>112</v>
      </c>
      <c r="K10" t="s">
        <v>112</v>
      </c>
    </row>
    <row r="11" spans="1:11" x14ac:dyDescent="0.35">
      <c r="A11" t="str">
        <f>IF(ISBLANK('Public Comments'!A11),"-",'Public Comments'!A11)</f>
        <v>-</v>
      </c>
      <c r="B11" t="str">
        <f t="shared" si="0"/>
        <v>com0011</v>
      </c>
      <c r="C11" t="str">
        <f>IF(ISBLANK('Public Comments'!B11),"-",'Public Comments'!B11)</f>
        <v>-</v>
      </c>
      <c r="D11" t="str">
        <f>IF(ISBLANK('Public Comments'!C11),"-",'Public Comments'!C11)</f>
        <v>-</v>
      </c>
      <c r="E11" t="str">
        <f>IF(ISBLANK('Public Comments'!D11),"-",'Public Comments'!D11)</f>
        <v>-</v>
      </c>
      <c r="F11" t="str">
        <f>IF('Public Comments'!E11 = "Yes","rg:True", "rg:False")</f>
        <v>rg:False</v>
      </c>
      <c r="G11" t="str">
        <f ca="1">IF(ISBLANK('Public Comments'!F11),"rg:None",TEXT(TODAY()+'Public Comments'!F11,"YYYY-MM-DDTHH:mm:SS.000Z"))</f>
        <v>rg:None</v>
      </c>
      <c r="H11" t="str">
        <f>"rg:{'_id': '"&amp;'Public Comments'!G11&amp;"'}"</f>
        <v>rg:{'_id': ''}</v>
      </c>
      <c r="I11" t="str">
        <f ca="1">IF(ISBLANK('Public Comments'!H11),"rg:None",TEXT(TODAY()+'Public Comments'!H11,"YYYY-MM-DDTHH:mm:SS.000Z"))</f>
        <v>rg:None</v>
      </c>
      <c r="J11" t="s">
        <v>112</v>
      </c>
      <c r="K11" t="s">
        <v>112</v>
      </c>
    </row>
    <row r="12" spans="1:11" x14ac:dyDescent="0.35">
      <c r="A12" t="str">
        <f>IF(ISBLANK('Public Comments'!A12),"-",'Public Comments'!A12)</f>
        <v>-</v>
      </c>
      <c r="B12" t="str">
        <f t="shared" si="0"/>
        <v>com0012</v>
      </c>
      <c r="C12" t="str">
        <f>IF(ISBLANK('Public Comments'!B12),"-",'Public Comments'!B12)</f>
        <v>-</v>
      </c>
      <c r="D12" t="str">
        <f>IF(ISBLANK('Public Comments'!C12),"-",'Public Comments'!C12)</f>
        <v>-</v>
      </c>
      <c r="E12" t="str">
        <f>IF(ISBLANK('Public Comments'!D12),"-",'Public Comments'!D12)</f>
        <v>-</v>
      </c>
      <c r="F12" t="str">
        <f>IF('Public Comments'!E12 = "Yes","rg:True", "rg:False")</f>
        <v>rg:False</v>
      </c>
      <c r="G12" t="str">
        <f ca="1">IF(ISBLANK('Public Comments'!F12),"rg:None",TEXT(TODAY()+'Public Comments'!F12,"YYYY-MM-DDTHH:mm:SS.000Z"))</f>
        <v>rg:None</v>
      </c>
      <c r="H12" t="str">
        <f>"rg:{'_id': '"&amp;'Public Comments'!G12&amp;"'}"</f>
        <v>rg:{'_id': ''}</v>
      </c>
      <c r="I12" t="str">
        <f ca="1">IF(ISBLANK('Public Comments'!H12),"rg:None",TEXT(TODAY()+'Public Comments'!H12,"YYYY-MM-DDTHH:mm:SS.000Z"))</f>
        <v>rg:None</v>
      </c>
      <c r="J12" t="s">
        <v>112</v>
      </c>
      <c r="K12" t="s">
        <v>112</v>
      </c>
    </row>
    <row r="13" spans="1:11" x14ac:dyDescent="0.35">
      <c r="A13" t="str">
        <f>IF(ISBLANK('Public Comments'!A13),"-",'Public Comments'!A13)</f>
        <v>-</v>
      </c>
      <c r="B13" t="str">
        <f t="shared" si="0"/>
        <v>com0013</v>
      </c>
      <c r="C13" t="str">
        <f>IF(ISBLANK('Public Comments'!B13),"-",'Public Comments'!B13)</f>
        <v>-</v>
      </c>
      <c r="D13" t="str">
        <f>IF(ISBLANK('Public Comments'!C13),"-",'Public Comments'!C13)</f>
        <v>-</v>
      </c>
      <c r="E13" t="str">
        <f>IF(ISBLANK('Public Comments'!D13),"-",'Public Comments'!D13)</f>
        <v>-</v>
      </c>
      <c r="F13" t="str">
        <f>IF('Public Comments'!E13 = "Yes","rg:True", "rg:False")</f>
        <v>rg:False</v>
      </c>
      <c r="G13" t="str">
        <f ca="1">IF(ISBLANK('Public Comments'!F13),"rg:None",TEXT(TODAY()+'Public Comments'!F13,"YYYY-MM-DDTHH:mm:SS.000Z"))</f>
        <v>rg:None</v>
      </c>
      <c r="H13" t="str">
        <f>"rg:{'_id': '"&amp;'Public Comments'!G13&amp;"'}"</f>
        <v>rg:{'_id': ''}</v>
      </c>
      <c r="I13" t="str">
        <f ca="1">IF(ISBLANK('Public Comments'!H13),"rg:None",TEXT(TODAY()+'Public Comments'!H13,"YYYY-MM-DDTHH:mm:SS.000Z"))</f>
        <v>rg:None</v>
      </c>
      <c r="J13" t="s">
        <v>112</v>
      </c>
      <c r="K13" t="s">
        <v>112</v>
      </c>
    </row>
    <row r="14" spans="1:11" x14ac:dyDescent="0.35">
      <c r="A14" t="str">
        <f>IF(ISBLANK('Public Comments'!A14),"-",'Public Comments'!A14)</f>
        <v>-</v>
      </c>
      <c r="B14" t="str">
        <f t="shared" si="0"/>
        <v>com0014</v>
      </c>
      <c r="C14" t="str">
        <f>IF(ISBLANK('Public Comments'!B14),"-",'Public Comments'!B14)</f>
        <v>-</v>
      </c>
      <c r="D14" t="str">
        <f>IF(ISBLANK('Public Comments'!C14),"-",'Public Comments'!C14)</f>
        <v>-</v>
      </c>
      <c r="E14" t="str">
        <f>IF(ISBLANK('Public Comments'!D14),"-",'Public Comments'!D14)</f>
        <v>-</v>
      </c>
      <c r="F14" t="str">
        <f>IF('Public Comments'!E14 = "Yes","rg:True", "rg:False")</f>
        <v>rg:False</v>
      </c>
      <c r="G14" t="str">
        <f ca="1">IF(ISBLANK('Public Comments'!F14),"rg:None",TEXT(TODAY()+'Public Comments'!F14,"YYYY-MM-DDTHH:mm:SS.000Z"))</f>
        <v>rg:None</v>
      </c>
      <c r="H14" t="str">
        <f>"rg:{'_id': '"&amp;'Public Comments'!G14&amp;"'}"</f>
        <v>rg:{'_id': ''}</v>
      </c>
      <c r="I14" t="str">
        <f ca="1">IF(ISBLANK('Public Comments'!H14),"rg:None",TEXT(TODAY()+'Public Comments'!H14,"YYYY-MM-DDTHH:mm:SS.000Z"))</f>
        <v>rg:None</v>
      </c>
      <c r="J14" t="s">
        <v>112</v>
      </c>
      <c r="K14" t="s">
        <v>112</v>
      </c>
    </row>
    <row r="15" spans="1:11" x14ac:dyDescent="0.35">
      <c r="A15" t="str">
        <f>IF(ISBLANK('Public Comments'!A15),"-",'Public Comments'!A15)</f>
        <v>-</v>
      </c>
      <c r="B15" t="str">
        <f t="shared" si="0"/>
        <v>com0015</v>
      </c>
      <c r="C15" t="str">
        <f>IF(ISBLANK('Public Comments'!B15),"-",'Public Comments'!B15)</f>
        <v>-</v>
      </c>
      <c r="D15" t="str">
        <f>IF(ISBLANK('Public Comments'!C15),"-",'Public Comments'!C15)</f>
        <v>-</v>
      </c>
      <c r="E15" t="str">
        <f>IF(ISBLANK('Public Comments'!D15),"-",'Public Comments'!D15)</f>
        <v>-</v>
      </c>
      <c r="F15" t="str">
        <f>IF('Public Comments'!E15 = "Yes","rg:True", "rg:False")</f>
        <v>rg:False</v>
      </c>
      <c r="G15" t="str">
        <f ca="1">IF(ISBLANK('Public Comments'!F15),"rg:None",TEXT(TODAY()+'Public Comments'!F15,"YYYY-MM-DDTHH:mm:SS.000Z"))</f>
        <v>rg:None</v>
      </c>
      <c r="H15" t="str">
        <f>"rg:{'_id': '"&amp;'Public Comments'!G15&amp;"'}"</f>
        <v>rg:{'_id': ''}</v>
      </c>
      <c r="I15" t="str">
        <f ca="1">IF(ISBLANK('Public Comments'!H15),"rg:None",TEXT(TODAY()+'Public Comments'!H15,"YYYY-MM-DDTHH:mm:SS.000Z"))</f>
        <v>rg:None</v>
      </c>
      <c r="J15" t="s">
        <v>112</v>
      </c>
      <c r="K15" t="s">
        <v>112</v>
      </c>
    </row>
    <row r="16" spans="1:11" x14ac:dyDescent="0.35">
      <c r="A16" t="str">
        <f>IF(ISBLANK('Public Comments'!A16),"-",'Public Comments'!A16)</f>
        <v>-</v>
      </c>
      <c r="B16" t="str">
        <f t="shared" si="0"/>
        <v>com0016</v>
      </c>
      <c r="C16" t="str">
        <f>IF(ISBLANK('Public Comments'!B16),"-",'Public Comments'!B16)</f>
        <v>-</v>
      </c>
      <c r="D16" t="str">
        <f>IF(ISBLANK('Public Comments'!C16),"-",'Public Comments'!C16)</f>
        <v>-</v>
      </c>
      <c r="E16" t="str">
        <f>IF(ISBLANK('Public Comments'!D16),"-",'Public Comments'!D16)</f>
        <v>-</v>
      </c>
      <c r="F16" t="str">
        <f>IF('Public Comments'!E16 = "Yes","rg:True", "rg:False")</f>
        <v>rg:False</v>
      </c>
      <c r="G16" t="str">
        <f ca="1">IF(ISBLANK('Public Comments'!F16),"rg:None",TEXT(TODAY()+'Public Comments'!F16,"YYYY-MM-DDTHH:mm:SS.000Z"))</f>
        <v>rg:None</v>
      </c>
      <c r="H16" t="str">
        <f>"rg:{'_id': '"&amp;'Public Comments'!G16&amp;"'}"</f>
        <v>rg:{'_id': ''}</v>
      </c>
      <c r="I16" t="str">
        <f ca="1">IF(ISBLANK('Public Comments'!H16),"rg:None",TEXT(TODAY()+'Public Comments'!H16,"YYYY-MM-DDTHH:mm:SS.000Z"))</f>
        <v>rg:None</v>
      </c>
      <c r="J16" t="s">
        <v>112</v>
      </c>
      <c r="K16" t="s">
        <v>112</v>
      </c>
    </row>
    <row r="17" spans="1:11" x14ac:dyDescent="0.35">
      <c r="A17" t="str">
        <f>IF(ISBLANK('Public Comments'!A17),"-",'Public Comments'!A17)</f>
        <v>-</v>
      </c>
      <c r="B17" t="str">
        <f t="shared" si="0"/>
        <v>com0017</v>
      </c>
      <c r="C17" t="str">
        <f>IF(ISBLANK('Public Comments'!B17),"-",'Public Comments'!B17)</f>
        <v>-</v>
      </c>
      <c r="D17" t="str">
        <f>IF(ISBLANK('Public Comments'!C17),"-",'Public Comments'!C17)</f>
        <v>-</v>
      </c>
      <c r="E17" t="str">
        <f>IF(ISBLANK('Public Comments'!D17),"-",'Public Comments'!D17)</f>
        <v>-</v>
      </c>
      <c r="F17" t="str">
        <f>IF('Public Comments'!E17 = "Yes","rg:True", "rg:False")</f>
        <v>rg:False</v>
      </c>
      <c r="G17" t="str">
        <f ca="1">IF(ISBLANK('Public Comments'!F17),"rg:None",TEXT(TODAY()+'Public Comments'!F17,"YYYY-MM-DDTHH:mm:SS.000Z"))</f>
        <v>rg:None</v>
      </c>
      <c r="H17" t="str">
        <f>"rg:{'_id': '"&amp;'Public Comments'!G17&amp;"'}"</f>
        <v>rg:{'_id': ''}</v>
      </c>
      <c r="I17" t="str">
        <f ca="1">IF(ISBLANK('Public Comments'!H17),"rg:None",TEXT(TODAY()+'Public Comments'!H17,"YYYY-MM-DDTHH:mm:SS.000Z"))</f>
        <v>rg:None</v>
      </c>
      <c r="J17" t="s">
        <v>112</v>
      </c>
      <c r="K17" t="s">
        <v>112</v>
      </c>
    </row>
    <row r="18" spans="1:11" x14ac:dyDescent="0.35">
      <c r="A18" t="str">
        <f>IF(ISBLANK('Public Comments'!A18),"-",'Public Comments'!A18)</f>
        <v>-</v>
      </c>
      <c r="B18" t="str">
        <f t="shared" si="0"/>
        <v>com0018</v>
      </c>
      <c r="C18" t="str">
        <f>IF(ISBLANK('Public Comments'!B18),"-",'Public Comments'!B18)</f>
        <v>-</v>
      </c>
      <c r="D18" t="str">
        <f>IF(ISBLANK('Public Comments'!C18),"-",'Public Comments'!C18)</f>
        <v>-</v>
      </c>
      <c r="E18" t="str">
        <f>IF(ISBLANK('Public Comments'!D18),"-",'Public Comments'!D18)</f>
        <v>-</v>
      </c>
      <c r="F18" t="str">
        <f>IF('Public Comments'!E18 = "Yes","rg:True", "rg:False")</f>
        <v>rg:False</v>
      </c>
      <c r="G18" t="str">
        <f ca="1">IF(ISBLANK('Public Comments'!F18),"rg:None",TEXT(TODAY()+'Public Comments'!F18,"YYYY-MM-DDTHH:mm:SS.000Z"))</f>
        <v>rg:None</v>
      </c>
      <c r="H18" t="str">
        <f>"rg:{'_id': '"&amp;'Public Comments'!G18&amp;"'}"</f>
        <v>rg:{'_id': ''}</v>
      </c>
      <c r="I18" t="str">
        <f ca="1">IF(ISBLANK('Public Comments'!H18),"rg:None",TEXT(TODAY()+'Public Comments'!H18,"YYYY-MM-DDTHH:mm:SS.000Z"))</f>
        <v>rg:None</v>
      </c>
      <c r="J18" t="s">
        <v>112</v>
      </c>
      <c r="K18" t="s">
        <v>112</v>
      </c>
    </row>
    <row r="19" spans="1:11" x14ac:dyDescent="0.35">
      <c r="A19" t="str">
        <f>IF(ISBLANK('Public Comments'!A19),"-",'Public Comments'!A19)</f>
        <v>-</v>
      </c>
      <c r="B19" t="str">
        <f t="shared" si="0"/>
        <v>com0019</v>
      </c>
      <c r="C19" t="str">
        <f>IF(ISBLANK('Public Comments'!B19),"-",'Public Comments'!B19)</f>
        <v>-</v>
      </c>
      <c r="D19" t="str">
        <f>IF(ISBLANK('Public Comments'!C19),"-",'Public Comments'!C19)</f>
        <v>-</v>
      </c>
      <c r="E19" t="str">
        <f>IF(ISBLANK('Public Comments'!D19),"-",'Public Comments'!D19)</f>
        <v>-</v>
      </c>
      <c r="F19" t="str">
        <f>IF('Public Comments'!E19 = "Yes","rg:True", "rg:False")</f>
        <v>rg:False</v>
      </c>
      <c r="G19" t="str">
        <f ca="1">IF(ISBLANK('Public Comments'!F19),"rg:None",TEXT(TODAY()+'Public Comments'!F19,"YYYY-MM-DDTHH:mm:SS.000Z"))</f>
        <v>rg:None</v>
      </c>
      <c r="H19" t="str">
        <f>"rg:{'_id': '"&amp;'Public Comments'!G19&amp;"'}"</f>
        <v>rg:{'_id': ''}</v>
      </c>
      <c r="I19" t="str">
        <f ca="1">IF(ISBLANK('Public Comments'!H19),"rg:None",TEXT(TODAY()+'Public Comments'!H19,"YYYY-MM-DDTHH:mm:SS.000Z"))</f>
        <v>rg:None</v>
      </c>
      <c r="J19" t="s">
        <v>112</v>
      </c>
      <c r="K19" t="s">
        <v>112</v>
      </c>
    </row>
    <row r="20" spans="1:11" x14ac:dyDescent="0.35">
      <c r="A20" t="str">
        <f>IF(ISBLANK('Public Comments'!A20),"-",'Public Comments'!A20)</f>
        <v>-</v>
      </c>
      <c r="B20" t="str">
        <f t="shared" si="0"/>
        <v>com0020</v>
      </c>
      <c r="C20" t="str">
        <f>IF(ISBLANK('Public Comments'!B20),"-",'Public Comments'!B20)</f>
        <v>-</v>
      </c>
      <c r="D20" t="str">
        <f>IF(ISBLANK('Public Comments'!C20),"-",'Public Comments'!C20)</f>
        <v>-</v>
      </c>
      <c r="E20" t="str">
        <f>IF(ISBLANK('Public Comments'!D20),"-",'Public Comments'!D20)</f>
        <v>-</v>
      </c>
      <c r="F20" t="str">
        <f>IF('Public Comments'!E20 = "Yes","rg:True", "rg:False")</f>
        <v>rg:False</v>
      </c>
      <c r="G20" t="str">
        <f ca="1">IF(ISBLANK('Public Comments'!F20),"rg:None",TEXT(TODAY()+'Public Comments'!F20,"YYYY-MM-DDTHH:mm:SS.000Z"))</f>
        <v>rg:None</v>
      </c>
      <c r="H20" t="str">
        <f>"rg:{'_id': '"&amp;'Public Comments'!G20&amp;"'}"</f>
        <v>rg:{'_id': ''}</v>
      </c>
      <c r="I20" t="str">
        <f ca="1">IF(ISBLANK('Public Comments'!H20),"rg:None",TEXT(TODAY()+'Public Comments'!H20,"YYYY-MM-DDTHH:mm:SS.000Z"))</f>
        <v>rg:None</v>
      </c>
      <c r="J20" t="s">
        <v>112</v>
      </c>
      <c r="K20" t="s">
        <v>112</v>
      </c>
    </row>
    <row r="21" spans="1:11" x14ac:dyDescent="0.35">
      <c r="A21" t="str">
        <f>IF(ISBLANK('Public Comments'!A21),"-",'Public Comments'!A21)</f>
        <v>-</v>
      </c>
      <c r="B21" t="str">
        <f t="shared" si="0"/>
        <v>com0021</v>
      </c>
      <c r="C21" t="str">
        <f>IF(ISBLANK('Public Comments'!B21),"-",'Public Comments'!B21)</f>
        <v>-</v>
      </c>
      <c r="D21" t="str">
        <f>IF(ISBLANK('Public Comments'!C21),"-",'Public Comments'!C21)</f>
        <v>-</v>
      </c>
      <c r="E21" t="str">
        <f>IF(ISBLANK('Public Comments'!D21),"-",'Public Comments'!D21)</f>
        <v>-</v>
      </c>
      <c r="F21" t="str">
        <f>IF('Public Comments'!E21 = "Yes","rg:True", "rg:False")</f>
        <v>rg:False</v>
      </c>
      <c r="G21" t="str">
        <f ca="1">IF(ISBLANK('Public Comments'!F21),"rg:None",TEXT(TODAY()+'Public Comments'!F21,"YYYY-MM-DDTHH:mm:SS.000Z"))</f>
        <v>rg:None</v>
      </c>
      <c r="H21" t="str">
        <f>"rg:{'_id': '"&amp;'Public Comments'!G21&amp;"'}"</f>
        <v>rg:{'_id': ''}</v>
      </c>
      <c r="I21" t="str">
        <f ca="1">IF(ISBLANK('Public Comments'!H21),"rg:None",TEXT(TODAY()+'Public Comments'!H21,"YYYY-MM-DDTHH:mm:SS.000Z"))</f>
        <v>rg:None</v>
      </c>
      <c r="J21" t="s">
        <v>112</v>
      </c>
      <c r="K21" t="s">
        <v>112</v>
      </c>
    </row>
    <row r="22" spans="1:11" x14ac:dyDescent="0.35">
      <c r="A22" t="str">
        <f>IF(ISBLANK('Public Comments'!A22),"-",'Public Comments'!A22)</f>
        <v>-</v>
      </c>
      <c r="B22" t="str">
        <f t="shared" si="0"/>
        <v>com0022</v>
      </c>
      <c r="C22" t="str">
        <f>IF(ISBLANK('Public Comments'!B22),"-",'Public Comments'!B22)</f>
        <v>-</v>
      </c>
      <c r="D22" t="str">
        <f>IF(ISBLANK('Public Comments'!C22),"-",'Public Comments'!C22)</f>
        <v>-</v>
      </c>
      <c r="E22" t="str">
        <f>IF(ISBLANK('Public Comments'!D22),"-",'Public Comments'!D22)</f>
        <v>-</v>
      </c>
      <c r="F22" t="str">
        <f>IF('Public Comments'!E22 = "Yes","rg:True", "rg:False")</f>
        <v>rg:False</v>
      </c>
      <c r="G22" t="str">
        <f ca="1">IF(ISBLANK('Public Comments'!F22),"rg:None",TEXT(TODAY()+'Public Comments'!F22,"YYYY-MM-DDTHH:mm:SS.000Z"))</f>
        <v>rg:None</v>
      </c>
      <c r="H22" t="str">
        <f>"rg:{'_id': '"&amp;'Public Comments'!G22&amp;"'}"</f>
        <v>rg:{'_id': ''}</v>
      </c>
      <c r="I22" t="str">
        <f ca="1">IF(ISBLANK('Public Comments'!H22),"rg:None",TEXT(TODAY()+'Public Comments'!H22,"YYYY-MM-DDTHH:mm:SS.000Z"))</f>
        <v>rg:None</v>
      </c>
      <c r="J22" t="s">
        <v>112</v>
      </c>
      <c r="K22" t="s">
        <v>112</v>
      </c>
    </row>
    <row r="23" spans="1:11" x14ac:dyDescent="0.35">
      <c r="A23" t="str">
        <f>IF(ISBLANK('Public Comments'!A23),"-",'Public Comments'!A23)</f>
        <v>-</v>
      </c>
      <c r="B23" t="str">
        <f t="shared" si="0"/>
        <v>com0023</v>
      </c>
      <c r="C23" t="str">
        <f>IF(ISBLANK('Public Comments'!B23),"-",'Public Comments'!B23)</f>
        <v>-</v>
      </c>
      <c r="D23" t="str">
        <f>IF(ISBLANK('Public Comments'!C23),"-",'Public Comments'!C23)</f>
        <v>-</v>
      </c>
      <c r="E23" t="str">
        <f>IF(ISBLANK('Public Comments'!D23),"-",'Public Comments'!D23)</f>
        <v>-</v>
      </c>
      <c r="F23" t="str">
        <f>IF('Public Comments'!E23 = "Yes","rg:True", "rg:False")</f>
        <v>rg:False</v>
      </c>
      <c r="G23" t="str">
        <f ca="1">IF(ISBLANK('Public Comments'!F23),"rg:None",TEXT(TODAY()+'Public Comments'!F23,"YYYY-MM-DDTHH:mm:SS.000Z"))</f>
        <v>rg:None</v>
      </c>
      <c r="H23" t="str">
        <f>"rg:{'_id': '"&amp;'Public Comments'!G23&amp;"'}"</f>
        <v>rg:{'_id': ''}</v>
      </c>
      <c r="I23" t="str">
        <f ca="1">IF(ISBLANK('Public Comments'!H23),"rg:None",TEXT(TODAY()+'Public Comments'!H23,"YYYY-MM-DDTHH:mm:SS.000Z"))</f>
        <v>rg:None</v>
      </c>
      <c r="J23" t="s">
        <v>112</v>
      </c>
      <c r="K23" t="s">
        <v>112</v>
      </c>
    </row>
    <row r="24" spans="1:11" x14ac:dyDescent="0.35">
      <c r="A24" t="str">
        <f>IF(ISBLANK('Public Comments'!A24),"-",'Public Comments'!A24)</f>
        <v>-</v>
      </c>
      <c r="B24" t="str">
        <f t="shared" si="0"/>
        <v>com0024</v>
      </c>
      <c r="C24" t="str">
        <f>IF(ISBLANK('Public Comments'!B24),"-",'Public Comments'!B24)</f>
        <v>-</v>
      </c>
      <c r="D24" t="str">
        <f>IF(ISBLANK('Public Comments'!C24),"-",'Public Comments'!C24)</f>
        <v>-</v>
      </c>
      <c r="E24" t="str">
        <f>IF(ISBLANK('Public Comments'!D24),"-",'Public Comments'!D24)</f>
        <v>-</v>
      </c>
      <c r="F24" t="str">
        <f>IF('Public Comments'!E24 = "Yes","rg:True", "rg:False")</f>
        <v>rg:False</v>
      </c>
      <c r="G24" t="str">
        <f ca="1">IF(ISBLANK('Public Comments'!F24),"rg:None",TEXT(TODAY()+'Public Comments'!F24,"YYYY-MM-DDTHH:mm:SS.000Z"))</f>
        <v>rg:None</v>
      </c>
      <c r="H24" t="str">
        <f>"rg:{'_id': '"&amp;'Public Comments'!G24&amp;"'}"</f>
        <v>rg:{'_id': ''}</v>
      </c>
      <c r="I24" t="str">
        <f ca="1">IF(ISBLANK('Public Comments'!H24),"rg:None",TEXT(TODAY()+'Public Comments'!H24,"YYYY-MM-DDTHH:mm:SS.000Z"))</f>
        <v>rg:None</v>
      </c>
      <c r="J24" t="s">
        <v>112</v>
      </c>
      <c r="K24" t="s">
        <v>112</v>
      </c>
    </row>
    <row r="25" spans="1:11" x14ac:dyDescent="0.35">
      <c r="A25" t="str">
        <f>IF(ISBLANK('Public Comments'!A25),"-",'Public Comments'!A25)</f>
        <v>-</v>
      </c>
      <c r="B25" t="str">
        <f t="shared" si="0"/>
        <v>com0025</v>
      </c>
      <c r="C25" t="str">
        <f>IF(ISBLANK('Public Comments'!B25),"-",'Public Comments'!B25)</f>
        <v>-</v>
      </c>
      <c r="D25" t="str">
        <f>IF(ISBLANK('Public Comments'!C25),"-",'Public Comments'!C25)</f>
        <v>-</v>
      </c>
      <c r="E25" t="str">
        <f>IF(ISBLANK('Public Comments'!D25),"-",'Public Comments'!D25)</f>
        <v>-</v>
      </c>
      <c r="F25" t="str">
        <f>IF('Public Comments'!E25 = "Yes","rg:True", "rg:False")</f>
        <v>rg:False</v>
      </c>
      <c r="G25" t="str">
        <f ca="1">IF(ISBLANK('Public Comments'!F25),"rg:None",TEXT(TODAY()+'Public Comments'!F25,"YYYY-MM-DDTHH:mm:SS.000Z"))</f>
        <v>rg:None</v>
      </c>
      <c r="H25" t="str">
        <f>"rg:{'_id': '"&amp;'Public Comments'!G25&amp;"'}"</f>
        <v>rg:{'_id': ''}</v>
      </c>
      <c r="I25" t="str">
        <f ca="1">IF(ISBLANK('Public Comments'!H25),"rg:None",TEXT(TODAY()+'Public Comments'!H25,"YYYY-MM-DDTHH:mm:SS.000Z"))</f>
        <v>rg:None</v>
      </c>
      <c r="J25" t="s">
        <v>112</v>
      </c>
      <c r="K25" t="s">
        <v>112</v>
      </c>
    </row>
    <row r="26" spans="1:11" x14ac:dyDescent="0.35">
      <c r="A26" t="str">
        <f>IF(ISBLANK('Public Comments'!A26),"-",'Public Comments'!A26)</f>
        <v>-</v>
      </c>
      <c r="B26" t="str">
        <f t="shared" si="0"/>
        <v>com0026</v>
      </c>
      <c r="C26" t="str">
        <f>IF(ISBLANK('Public Comments'!B26),"-",'Public Comments'!B26)</f>
        <v>-</v>
      </c>
      <c r="D26" t="str">
        <f>IF(ISBLANK('Public Comments'!C26),"-",'Public Comments'!C26)</f>
        <v>-</v>
      </c>
      <c r="E26" t="str">
        <f>IF(ISBLANK('Public Comments'!D26),"-",'Public Comments'!D26)</f>
        <v>-</v>
      </c>
      <c r="F26" t="str">
        <f>IF('Public Comments'!E26 = "Yes","rg:True", "rg:False")</f>
        <v>rg:False</v>
      </c>
      <c r="G26" t="str">
        <f ca="1">IF(ISBLANK('Public Comments'!F26),"rg:None",TEXT(TODAY()+'Public Comments'!F26,"YYYY-MM-DDTHH:mm:SS.000Z"))</f>
        <v>rg:None</v>
      </c>
      <c r="H26" t="str">
        <f>"rg:{'_id': '"&amp;'Public Comments'!G26&amp;"'}"</f>
        <v>rg:{'_id': ''}</v>
      </c>
      <c r="I26" t="str">
        <f ca="1">IF(ISBLANK('Public Comments'!H26),"rg:None",TEXT(TODAY()+'Public Comments'!H26,"YYYY-MM-DDTHH:mm:SS.000Z"))</f>
        <v>rg:None</v>
      </c>
      <c r="J26" t="s">
        <v>112</v>
      </c>
      <c r="K26" t="s">
        <v>112</v>
      </c>
    </row>
    <row r="27" spans="1:11" x14ac:dyDescent="0.35">
      <c r="A27" t="str">
        <f>IF(ISBLANK('Public Comments'!A27),"-",'Public Comments'!A27)</f>
        <v>-</v>
      </c>
      <c r="B27" t="str">
        <f t="shared" si="0"/>
        <v>com0027</v>
      </c>
      <c r="C27" t="str">
        <f>IF(ISBLANK('Public Comments'!B27),"-",'Public Comments'!B27)</f>
        <v>-</v>
      </c>
      <c r="D27" t="str">
        <f>IF(ISBLANK('Public Comments'!C27),"-",'Public Comments'!C27)</f>
        <v>-</v>
      </c>
      <c r="E27" t="str">
        <f>IF(ISBLANK('Public Comments'!D27),"-",'Public Comments'!D27)</f>
        <v>-</v>
      </c>
      <c r="F27" t="str">
        <f>IF('Public Comments'!E27 = "Yes","rg:True", "rg:False")</f>
        <v>rg:False</v>
      </c>
      <c r="G27" t="str">
        <f ca="1">IF(ISBLANK('Public Comments'!F27),"rg:None",TEXT(TODAY()+'Public Comments'!F27,"YYYY-MM-DDTHH:mm:SS.000Z"))</f>
        <v>rg:None</v>
      </c>
      <c r="H27" t="str">
        <f>"rg:{'_id': '"&amp;'Public Comments'!G27&amp;"'}"</f>
        <v>rg:{'_id': ''}</v>
      </c>
      <c r="I27" t="str">
        <f ca="1">IF(ISBLANK('Public Comments'!H27),"rg:None",TEXT(TODAY()+'Public Comments'!H27,"YYYY-MM-DDTHH:mm:SS.000Z"))</f>
        <v>rg:None</v>
      </c>
      <c r="J27" t="s">
        <v>112</v>
      </c>
      <c r="K27" t="s">
        <v>112</v>
      </c>
    </row>
    <row r="28" spans="1:11" x14ac:dyDescent="0.35">
      <c r="A28" t="str">
        <f>IF(ISBLANK('Public Comments'!A28),"-",'Public Comments'!A28)</f>
        <v>-</v>
      </c>
      <c r="B28" t="str">
        <f t="shared" si="0"/>
        <v>com0028</v>
      </c>
      <c r="C28" t="str">
        <f>IF(ISBLANK('Public Comments'!B28),"-",'Public Comments'!B28)</f>
        <v>-</v>
      </c>
      <c r="D28" t="str">
        <f>IF(ISBLANK('Public Comments'!C28),"-",'Public Comments'!C28)</f>
        <v>-</v>
      </c>
      <c r="E28" t="str">
        <f>IF(ISBLANK('Public Comments'!D28),"-",'Public Comments'!D28)</f>
        <v>-</v>
      </c>
      <c r="F28" t="str">
        <f>IF('Public Comments'!E28 = "Yes","rg:True", "rg:False")</f>
        <v>rg:False</v>
      </c>
      <c r="G28" t="str">
        <f ca="1">IF(ISBLANK('Public Comments'!F28),"rg:None",TEXT(TODAY()+'Public Comments'!F28,"YYYY-MM-DDTHH:mm:SS.000Z"))</f>
        <v>rg:None</v>
      </c>
      <c r="H28" t="str">
        <f>"rg:{'_id': '"&amp;'Public Comments'!G28&amp;"'}"</f>
        <v>rg:{'_id': ''}</v>
      </c>
      <c r="I28" t="str">
        <f ca="1">IF(ISBLANK('Public Comments'!H28),"rg:None",TEXT(TODAY()+'Public Comments'!H28,"YYYY-MM-DDTHH:mm:SS.000Z"))</f>
        <v>rg:None</v>
      </c>
      <c r="J28" t="s">
        <v>112</v>
      </c>
      <c r="K28" t="s">
        <v>112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workbookViewId="0">
      <selection activeCell="E2" sqref="E2"/>
    </sheetView>
  </sheetViews>
  <sheetFormatPr defaultRowHeight="15.5" x14ac:dyDescent="0.35"/>
  <cols>
    <col min="1" max="1" width="4.9140625" bestFit="1" customWidth="1"/>
    <col min="2" max="2" width="8.25" bestFit="1" customWidth="1"/>
    <col min="3" max="3" width="18" bestFit="1" customWidth="1"/>
    <col min="4" max="4" width="22.58203125" bestFit="1" customWidth="1"/>
    <col min="5" max="5" width="31.08203125" bestFit="1" customWidth="1"/>
  </cols>
  <sheetData>
    <row r="1" spans="1:5" x14ac:dyDescent="0.35">
      <c r="A1" t="s">
        <v>0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5">
      <c r="A2" t="str">
        <f>IF(ISBLANK(Audit!A2),"-",Audit!A2)</f>
        <v>knob</v>
      </c>
      <c r="B2" t="str">
        <f>IF(ISBLANK(Audit!B2),"-",Audit!B2)</f>
        <v>apprdesc</v>
      </c>
      <c r="C2" t="str">
        <f>IF(ISBLANK(Audit!C2),"-",Audit!C2)</f>
        <v>Document Approved</v>
      </c>
      <c r="D2" t="str">
        <f ca="1">IF(ISBLANK(Audit!D2),"rg:None",TEXT(TODAY()+Audit!D2,"YYYY-MM-DDTHH:mm:SS.000Z"))</f>
        <v>2014-07-15T00:00:00.000Z</v>
      </c>
      <c r="E2" t="str">
        <f>"rg:{'_id': '"&amp;Audit!E2&amp;"'}"</f>
        <v>rg:{'_id': 'WilliamSButler@einrot.com'}</v>
      </c>
    </row>
    <row r="3" spans="1:5" x14ac:dyDescent="0.35">
      <c r="A3" t="str">
        <f>IF(ISBLANK(Audit!A3),"-",Audit!A3)</f>
        <v>-</v>
      </c>
      <c r="B3" t="str">
        <f>IF(ISBLANK(Audit!B3),"-",Audit!B3)</f>
        <v>-</v>
      </c>
      <c r="C3" t="str">
        <f>IF(ISBLANK(Audit!C3),"-",Audit!C3)</f>
        <v>-</v>
      </c>
      <c r="D3" t="str">
        <f ca="1">IF(ISBLANK(Audit!D3),"rg:None",TEXT(TODAY()+Audit!D3,"YYYY-MM-DDTHH:mm:SS.000Z"))</f>
        <v>rg:None</v>
      </c>
      <c r="E3" t="str">
        <f>"rg:{'_id': '"&amp;Audit!E3&amp;"'}"</f>
        <v>rg:{'_id': ''}</v>
      </c>
    </row>
    <row r="4" spans="1:5" x14ac:dyDescent="0.35">
      <c r="A4" t="str">
        <f>IF(ISBLANK(Audit!A4),"-",Audit!A4)</f>
        <v>-</v>
      </c>
      <c r="B4" t="str">
        <f>IF(ISBLANK(Audit!B4),"-",Audit!B4)</f>
        <v>-</v>
      </c>
      <c r="C4" t="str">
        <f>IF(ISBLANK(Audit!C4),"-",Audit!C4)</f>
        <v>-</v>
      </c>
      <c r="D4" t="str">
        <f ca="1">IF(ISBLANK(Audit!D4),"rg:None",TEXT(TODAY()+Audit!D4,"YYYY-MM-DDTHH:mm:SS.000Z"))</f>
        <v>rg:None</v>
      </c>
      <c r="E4" t="str">
        <f>"rg:{'_id': '"&amp;Audit!E4&amp;"'}"</f>
        <v>rg:{'_id': ''}</v>
      </c>
    </row>
    <row r="5" spans="1:5" x14ac:dyDescent="0.35">
      <c r="A5" t="str">
        <f>IF(ISBLANK(Audit!A5),"-",Audit!A5)</f>
        <v>-</v>
      </c>
      <c r="B5" t="str">
        <f>IF(ISBLANK(Audit!B5),"-",Audit!B5)</f>
        <v>-</v>
      </c>
      <c r="C5" t="str">
        <f>IF(ISBLANK(Audit!C5),"-",Audit!C5)</f>
        <v>-</v>
      </c>
      <c r="D5" t="str">
        <f ca="1">IF(ISBLANK(Audit!D5),"rg:None",TEXT(TODAY()+Audit!D5,"YYYY-MM-DDTHH:mm:SS.000Z"))</f>
        <v>rg:None</v>
      </c>
      <c r="E5" t="str">
        <f>"rg:{'_id': '"&amp;Audit!E5&amp;"'}"</f>
        <v>rg:{'_id': ''}</v>
      </c>
    </row>
    <row r="6" spans="1:5" x14ac:dyDescent="0.35">
      <c r="A6" t="str">
        <f>IF(ISBLANK(Audit!A6),"-",Audit!A6)</f>
        <v>-</v>
      </c>
      <c r="B6" t="str">
        <f>IF(ISBLANK(Audit!B6),"-",Audit!B6)</f>
        <v>-</v>
      </c>
      <c r="C6" t="str">
        <f>IF(ISBLANK(Audit!C6),"-",Audit!C6)</f>
        <v>-</v>
      </c>
      <c r="D6" t="str">
        <f ca="1">IF(ISBLANK(Audit!D6),"rg:None",TEXT(TODAY()+Audit!D6,"YYYY-MM-DDTHH:mm:SS.000Z"))</f>
        <v>rg:None</v>
      </c>
      <c r="E6" t="str">
        <f>"rg:{'_id': '"&amp;Audit!E6&amp;"'}"</f>
        <v>rg:{'_id': ''}</v>
      </c>
    </row>
    <row r="7" spans="1:5" x14ac:dyDescent="0.35">
      <c r="A7" t="str">
        <f>IF(ISBLANK(Audit!A7),"-",Audit!A7)</f>
        <v>-</v>
      </c>
      <c r="B7" t="str">
        <f>IF(ISBLANK(Audit!B7),"-",Audit!B7)</f>
        <v>-</v>
      </c>
      <c r="C7" t="str">
        <f>IF(ISBLANK(Audit!C7),"-",Audit!C7)</f>
        <v>-</v>
      </c>
      <c r="D7" t="str">
        <f ca="1">IF(ISBLANK(Audit!D7),"rg:None",TEXT(TODAY()+Audit!D7,"YYYY-MM-DDTHH:mm:SS.000Z"))</f>
        <v>rg:None</v>
      </c>
      <c r="E7" t="str">
        <f>"rg:{'_id': '"&amp;Audit!E7&amp;"'}"</f>
        <v>rg:{'_id': ''}</v>
      </c>
    </row>
    <row r="8" spans="1:5" x14ac:dyDescent="0.35">
      <c r="A8" t="str">
        <f>IF(ISBLANK(Audit!A8),"-",Audit!A8)</f>
        <v>-</v>
      </c>
      <c r="B8" t="str">
        <f>IF(ISBLANK(Audit!B8),"-",Audit!B8)</f>
        <v>-</v>
      </c>
      <c r="C8" t="str">
        <f>IF(ISBLANK(Audit!C8),"-",Audit!C8)</f>
        <v>-</v>
      </c>
      <c r="D8" t="str">
        <f ca="1">IF(ISBLANK(Audit!D8),"rg:None",TEXT(TODAY()+Audit!D8,"YYYY-MM-DDTHH:mm:SS.000Z"))</f>
        <v>rg:None</v>
      </c>
      <c r="E8" t="str">
        <f>"rg:{'_id': '"&amp;Audit!E8&amp;"'}"</f>
        <v>rg:{'_id': ''}</v>
      </c>
    </row>
    <row r="9" spans="1:5" x14ac:dyDescent="0.35">
      <c r="A9" t="str">
        <f>IF(ISBLANK(Audit!A9),"-",Audit!A9)</f>
        <v>-</v>
      </c>
      <c r="B9" t="str">
        <f>IF(ISBLANK(Audit!B9),"-",Audit!B9)</f>
        <v>-</v>
      </c>
      <c r="C9" t="str">
        <f>IF(ISBLANK(Audit!C9),"-",Audit!C9)</f>
        <v>-</v>
      </c>
      <c r="D9" t="str">
        <f ca="1">IF(ISBLANK(Audit!D9),"rg:None",TEXT(TODAY()+Audit!D9,"YYYY-MM-DDTHH:mm:SS.000Z"))</f>
        <v>rg:None</v>
      </c>
      <c r="E9" t="str">
        <f>"rg:{'_id': '"&amp;Audit!E9&amp;"'}"</f>
        <v>rg:{'_id': ''}</v>
      </c>
    </row>
    <row r="10" spans="1:5" x14ac:dyDescent="0.35">
      <c r="A10" t="str">
        <f>IF(ISBLANK(Audit!A10),"-",Audit!A10)</f>
        <v>-</v>
      </c>
      <c r="B10" t="str">
        <f>IF(ISBLANK(Audit!B10),"-",Audit!B10)</f>
        <v>-</v>
      </c>
      <c r="C10" t="str">
        <f>IF(ISBLANK(Audit!C10),"-",Audit!C10)</f>
        <v>-</v>
      </c>
      <c r="D10" t="str">
        <f ca="1">IF(ISBLANK(Audit!D10),"rg:None",TEXT(TODAY()+Audit!D10,"YYYY-MM-DDTHH:mm:SS.000Z"))</f>
        <v>rg:None</v>
      </c>
      <c r="E10" t="str">
        <f>"rg:{'_id': '"&amp;Audit!E10&amp;"'}"</f>
        <v>rg:{'_id': ''}</v>
      </c>
    </row>
    <row r="11" spans="1:5" x14ac:dyDescent="0.35">
      <c r="A11" t="str">
        <f>IF(ISBLANK(Audit!A11),"-",Audit!A11)</f>
        <v>-</v>
      </c>
      <c r="B11" t="str">
        <f>IF(ISBLANK(Audit!B11),"-",Audit!B11)</f>
        <v>-</v>
      </c>
      <c r="C11" t="str">
        <f>IF(ISBLANK(Audit!C11),"-",Audit!C11)</f>
        <v>-</v>
      </c>
      <c r="D11" t="str">
        <f ca="1">IF(ISBLANK(Audit!D11),"rg:None",TEXT(TODAY()+Audit!D11,"YYYY-MM-DDTHH:mm:SS.000Z"))</f>
        <v>rg:None</v>
      </c>
      <c r="E11" t="str">
        <f>"rg:{'_id': '"&amp;Audit!E11&amp;"'}"</f>
        <v>rg:{'_id': ''}</v>
      </c>
    </row>
    <row r="12" spans="1:5" x14ac:dyDescent="0.35">
      <c r="A12" t="str">
        <f>IF(ISBLANK(Audit!A12),"-",Audit!A12)</f>
        <v>-</v>
      </c>
      <c r="B12" t="str">
        <f>IF(ISBLANK(Audit!B12),"-",Audit!B12)</f>
        <v>-</v>
      </c>
      <c r="C12" t="str">
        <f>IF(ISBLANK(Audit!C12),"-",Audit!C12)</f>
        <v>-</v>
      </c>
      <c r="D12" t="str">
        <f ca="1">IF(ISBLANK(Audit!D12),"rg:None",TEXT(TODAY()+Audit!D12,"YYYY-MM-DDTHH:mm:SS.000Z"))</f>
        <v>rg:None</v>
      </c>
      <c r="E12" t="str">
        <f>"rg:{'_id': '"&amp;Audit!E12&amp;"'}"</f>
        <v>rg:{'_id': ''}</v>
      </c>
    </row>
    <row r="13" spans="1:5" x14ac:dyDescent="0.35">
      <c r="A13" t="str">
        <f>IF(ISBLANK(Audit!A13),"-",Audit!A13)</f>
        <v>-</v>
      </c>
      <c r="B13" t="str">
        <f>IF(ISBLANK(Audit!B13),"-",Audit!B13)</f>
        <v>-</v>
      </c>
      <c r="C13" t="str">
        <f>IF(ISBLANK(Audit!C13),"-",Audit!C13)</f>
        <v>-</v>
      </c>
      <c r="D13" t="str">
        <f ca="1">IF(ISBLANK(Audit!D13),"rg:None",TEXT(TODAY()+Audit!D13,"YYYY-MM-DDTHH:mm:SS.000Z"))</f>
        <v>rg:None</v>
      </c>
      <c r="E13" t="str">
        <f>"rg:{'_id': '"&amp;Audit!E13&amp;"'}"</f>
        <v>rg:{'_id': ''}</v>
      </c>
    </row>
    <row r="14" spans="1:5" x14ac:dyDescent="0.35">
      <c r="A14" t="str">
        <f>IF(ISBLANK(Audit!A14),"-",Audit!A14)</f>
        <v>-</v>
      </c>
      <c r="B14" t="str">
        <f>IF(ISBLANK(Audit!B14),"-",Audit!B14)</f>
        <v>-</v>
      </c>
      <c r="C14" t="str">
        <f>IF(ISBLANK(Audit!C14),"-",Audit!C14)</f>
        <v>-</v>
      </c>
      <c r="D14" t="str">
        <f ca="1">IF(ISBLANK(Audit!D14),"rg:None",TEXT(TODAY()+Audit!D14,"YYYY-MM-DDTHH:mm:SS.000Z"))</f>
        <v>rg:None</v>
      </c>
      <c r="E14" t="str">
        <f>"rg:{'_id': '"&amp;Audit!E14&amp;"'}"</f>
        <v>rg:{'_id': ''}</v>
      </c>
    </row>
    <row r="15" spans="1:5" x14ac:dyDescent="0.35">
      <c r="A15" t="str">
        <f>IF(ISBLANK(Audit!A15),"-",Audit!A15)</f>
        <v>-</v>
      </c>
      <c r="B15" t="str">
        <f>IF(ISBLANK(Audit!B15),"-",Audit!B15)</f>
        <v>-</v>
      </c>
      <c r="C15" t="str">
        <f>IF(ISBLANK(Audit!C15),"-",Audit!C15)</f>
        <v>-</v>
      </c>
      <c r="D15" t="str">
        <f ca="1">IF(ISBLANK(Audit!D15),"rg:None",TEXT(TODAY()+Audit!D15,"YYYY-MM-DDTHH:mm:SS.000Z"))</f>
        <v>rg:None</v>
      </c>
      <c r="E15" t="str">
        <f>"rg:{'_id': '"&amp;Audit!E15&amp;"'}"</f>
        <v>rg:{'_id': ''}</v>
      </c>
    </row>
    <row r="16" spans="1:5" x14ac:dyDescent="0.35">
      <c r="A16" t="str">
        <f>IF(ISBLANK(Audit!A16),"-",Audit!A16)</f>
        <v>-</v>
      </c>
      <c r="B16" t="str">
        <f>IF(ISBLANK(Audit!B16),"-",Audit!B16)</f>
        <v>-</v>
      </c>
      <c r="C16" t="str">
        <f>IF(ISBLANK(Audit!C16),"-",Audit!C16)</f>
        <v>-</v>
      </c>
      <c r="D16" t="str">
        <f ca="1">IF(ISBLANK(Audit!D16),"rg:None",TEXT(TODAY()+Audit!D16,"YYYY-MM-DDTHH:mm:SS.000Z"))</f>
        <v>rg:None</v>
      </c>
      <c r="E16" t="str">
        <f>"rg:{'_id': '"&amp;Audit!E16&amp;"'}"</f>
        <v>rg:{'_id': ''}</v>
      </c>
    </row>
    <row r="17" spans="1:5" x14ac:dyDescent="0.35">
      <c r="A17" t="str">
        <f>IF(ISBLANK(Audit!A17),"-",Audit!A17)</f>
        <v>-</v>
      </c>
      <c r="B17" t="str">
        <f>IF(ISBLANK(Audit!B17),"-",Audit!B17)</f>
        <v>-</v>
      </c>
      <c r="C17" t="str">
        <f>IF(ISBLANK(Audit!C17),"-",Audit!C17)</f>
        <v>-</v>
      </c>
      <c r="D17" t="str">
        <f ca="1">IF(ISBLANK(Audit!D17),"rg:None",TEXT(TODAY()+Audit!D17,"YYYY-MM-DDTHH:mm:SS.000Z"))</f>
        <v>rg:None</v>
      </c>
      <c r="E17" t="str">
        <f>"rg:{'_id': '"&amp;Audit!E17&amp;"'}"</f>
        <v>rg:{'_id': ''}</v>
      </c>
    </row>
    <row r="18" spans="1:5" x14ac:dyDescent="0.35">
      <c r="A18" t="str">
        <f>IF(ISBLANK(Audit!A18),"-",Audit!A18)</f>
        <v>-</v>
      </c>
      <c r="B18" t="str">
        <f>IF(ISBLANK(Audit!B18),"-",Audit!B18)</f>
        <v>-</v>
      </c>
      <c r="C18" t="str">
        <f>IF(ISBLANK(Audit!C18),"-",Audit!C18)</f>
        <v>-</v>
      </c>
      <c r="D18" t="str">
        <f ca="1">IF(ISBLANK(Audit!D18),"rg:None",TEXT(TODAY()+Audit!D18,"YYYY-MM-DDTHH:mm:SS.000Z"))</f>
        <v>rg:None</v>
      </c>
      <c r="E18" t="str">
        <f>"rg:{'_id': '"&amp;Audit!E18&amp;"'}"</f>
        <v>rg:{'_id': ''}</v>
      </c>
    </row>
    <row r="19" spans="1:5" x14ac:dyDescent="0.35">
      <c r="A19" t="str">
        <f>IF(ISBLANK(Audit!A19),"-",Audit!A19)</f>
        <v>-</v>
      </c>
      <c r="B19" t="str">
        <f>IF(ISBLANK(Audit!B19),"-",Audit!B19)</f>
        <v>-</v>
      </c>
      <c r="C19" t="str">
        <f>IF(ISBLANK(Audit!C19),"-",Audit!C19)</f>
        <v>-</v>
      </c>
      <c r="D19" t="str">
        <f ca="1">IF(ISBLANK(Audit!D19),"rg:None",TEXT(TODAY()+Audit!D19,"YYYY-MM-DDTHH:mm:SS.000Z"))</f>
        <v>rg:None</v>
      </c>
      <c r="E19" t="str">
        <f>"rg:{'_id': '"&amp;Audit!E19&amp;"'}"</f>
        <v>rg:{'_id': ''}</v>
      </c>
    </row>
    <row r="20" spans="1:5" x14ac:dyDescent="0.35">
      <c r="A20" t="str">
        <f>IF(ISBLANK(Audit!A20),"-",Audit!A20)</f>
        <v>-</v>
      </c>
      <c r="B20" t="str">
        <f>IF(ISBLANK(Audit!B20),"-",Audit!B20)</f>
        <v>-</v>
      </c>
      <c r="C20" t="str">
        <f>IF(ISBLANK(Audit!C20),"-",Audit!C20)</f>
        <v>-</v>
      </c>
      <c r="D20" t="str">
        <f ca="1">IF(ISBLANK(Audit!D20),"rg:None",TEXT(TODAY()+Audit!D20,"YYYY-MM-DDTHH:mm:SS.000Z"))</f>
        <v>rg:None</v>
      </c>
      <c r="E20" t="str">
        <f>"rg:{'_id': '"&amp;Audit!E20&amp;"'}"</f>
        <v>rg:{'_id': ''}</v>
      </c>
    </row>
    <row r="21" spans="1:5" x14ac:dyDescent="0.35">
      <c r="A21" t="str">
        <f>IF(ISBLANK(Audit!A21),"-",Audit!A21)</f>
        <v>-</v>
      </c>
      <c r="B21" t="str">
        <f>IF(ISBLANK(Audit!B21),"-",Audit!B21)</f>
        <v>-</v>
      </c>
      <c r="C21" t="str">
        <f>IF(ISBLANK(Audit!C21),"-",Audit!C21)</f>
        <v>-</v>
      </c>
      <c r="D21" t="str">
        <f ca="1">IF(ISBLANK(Audit!D21),"rg:None",TEXT(TODAY()+Audit!D21,"YYYY-MM-DDTHH:mm:SS.000Z"))</f>
        <v>rg:None</v>
      </c>
      <c r="E21" t="str">
        <f>"rg:{'_id': '"&amp;Audit!E21&amp;"'}"</f>
        <v>rg:{'_id': ''}</v>
      </c>
    </row>
    <row r="22" spans="1:5" x14ac:dyDescent="0.35">
      <c r="A22" t="str">
        <f>IF(ISBLANK(Audit!A22),"-",Audit!A22)</f>
        <v>-</v>
      </c>
      <c r="B22" t="str">
        <f>IF(ISBLANK(Audit!B22),"-",Audit!B22)</f>
        <v>-</v>
      </c>
      <c r="C22" t="str">
        <f>IF(ISBLANK(Audit!C22),"-",Audit!C22)</f>
        <v>-</v>
      </c>
      <c r="D22" t="str">
        <f ca="1">IF(ISBLANK(Audit!D22),"rg:None",TEXT(TODAY()+Audit!D22,"YYYY-MM-DDTHH:mm:SS.000Z"))</f>
        <v>rg:None</v>
      </c>
      <c r="E22" t="str">
        <f>"rg:{'_id': '"&amp;Audit!E22&amp;"'}"</f>
        <v>rg:{'_id': ''}</v>
      </c>
    </row>
    <row r="23" spans="1:5" x14ac:dyDescent="0.35">
      <c r="A23" t="str">
        <f>IF(ISBLANK(Audit!A23),"-",Audit!A23)</f>
        <v>-</v>
      </c>
      <c r="B23" t="str">
        <f>IF(ISBLANK(Audit!B23),"-",Audit!B23)</f>
        <v>-</v>
      </c>
      <c r="C23" t="str">
        <f>IF(ISBLANK(Audit!C23),"-",Audit!C23)</f>
        <v>-</v>
      </c>
      <c r="D23" t="str">
        <f ca="1">IF(ISBLANK(Audit!D23),"rg:None",TEXT(TODAY()+Audit!D23,"YYYY-MM-DDTHH:mm:SS.000Z"))</f>
        <v>rg:None</v>
      </c>
      <c r="E23" t="str">
        <f>"rg:{'_id': '"&amp;Audit!E23&amp;"'}"</f>
        <v>rg:{'_id': ''}</v>
      </c>
    </row>
    <row r="24" spans="1:5" x14ac:dyDescent="0.35">
      <c r="A24" t="str">
        <f>IF(ISBLANK(Audit!A24),"-",Audit!A24)</f>
        <v>-</v>
      </c>
      <c r="B24" t="str">
        <f>IF(ISBLANK(Audit!B24),"-",Audit!B24)</f>
        <v>-</v>
      </c>
      <c r="C24" t="str">
        <f>IF(ISBLANK(Audit!C24),"-",Audit!C24)</f>
        <v>-</v>
      </c>
      <c r="D24" t="str">
        <f ca="1">IF(ISBLANK(Audit!D24),"rg:None",TEXT(TODAY()+Audit!D24,"YYYY-MM-DDTHH:mm:SS.000Z"))</f>
        <v>rg:None</v>
      </c>
      <c r="E24" t="str">
        <f>"rg:{'_id': '"&amp;Audit!E24&amp;"'}"</f>
        <v>rg:{'_id': ''}</v>
      </c>
    </row>
    <row r="25" spans="1:5" x14ac:dyDescent="0.35">
      <c r="A25" t="str">
        <f>IF(ISBLANK(Audit!A25),"-",Audit!A25)</f>
        <v>-</v>
      </c>
      <c r="B25" t="str">
        <f>IF(ISBLANK(Audit!B25),"-",Audit!B25)</f>
        <v>-</v>
      </c>
      <c r="C25" t="str">
        <f>IF(ISBLANK(Audit!C25),"-",Audit!C25)</f>
        <v>-</v>
      </c>
      <c r="D25" t="str">
        <f ca="1">IF(ISBLANK(Audit!D25),"rg:None",TEXT(TODAY()+Audit!D25,"YYYY-MM-DDTHH:mm:SS.000Z"))</f>
        <v>rg:None</v>
      </c>
      <c r="E25" t="str">
        <f>"rg:{'_id': '"&amp;Audit!E25&amp;"'}"</f>
        <v>rg:{'_id': ''}</v>
      </c>
    </row>
    <row r="26" spans="1:5" x14ac:dyDescent="0.35">
      <c r="A26" t="str">
        <f>IF(ISBLANK(Audit!A26),"-",Audit!A26)</f>
        <v>-</v>
      </c>
      <c r="B26" t="str">
        <f>IF(ISBLANK(Audit!B26),"-",Audit!B26)</f>
        <v>-</v>
      </c>
      <c r="C26" t="str">
        <f>IF(ISBLANK(Audit!C26),"-",Audit!C26)</f>
        <v>-</v>
      </c>
      <c r="D26" t="str">
        <f ca="1">IF(ISBLANK(Audit!D26),"rg:None",TEXT(TODAY()+Audit!D26,"YYYY-MM-DDTHH:mm:SS.000Z"))</f>
        <v>rg:None</v>
      </c>
      <c r="E26" t="str">
        <f>"rg:{'_id': '"&amp;Audit!E26&amp;"'}"</f>
        <v>rg:{'_id': ''}</v>
      </c>
    </row>
    <row r="27" spans="1:5" x14ac:dyDescent="0.35">
      <c r="A27" t="str">
        <f>IF(ISBLANK(Audit!A27),"-",Audit!A27)</f>
        <v>-</v>
      </c>
      <c r="B27" t="str">
        <f>IF(ISBLANK(Audit!B27),"-",Audit!B27)</f>
        <v>-</v>
      </c>
      <c r="C27" t="str">
        <f>IF(ISBLANK(Audit!C27),"-",Audit!C27)</f>
        <v>-</v>
      </c>
      <c r="D27" t="str">
        <f ca="1">IF(ISBLANK(Audit!D27),"rg:None",TEXT(TODAY()+Audit!D27,"YYYY-MM-DDTHH:mm:SS.000Z"))</f>
        <v>rg:None</v>
      </c>
      <c r="E27" t="str">
        <f>"rg:{'_id': '"&amp;Audit!E27&amp;"'}"</f>
        <v>rg:{'_id': ''}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/>
  </sheetViews>
  <sheetFormatPr defaultRowHeight="15.5" x14ac:dyDescent="0.35"/>
  <cols>
    <col min="1" max="1" width="4.9140625" bestFit="1" customWidth="1"/>
    <col min="2" max="2" width="24.08203125" bestFit="1" customWidth="1"/>
    <col min="3" max="3" width="33.6640625" bestFit="1" customWidth="1"/>
    <col min="4" max="4" width="30.25" bestFit="1" customWidth="1"/>
    <col min="5" max="5" width="24.58203125" bestFit="1" customWidth="1"/>
    <col min="6" max="6" width="27.9140625" bestFit="1" customWidth="1"/>
    <col min="7" max="7" width="9.4140625" bestFit="1" customWidth="1"/>
  </cols>
  <sheetData>
    <row r="1" spans="1:7" x14ac:dyDescent="0.35">
      <c r="A1" t="s">
        <v>0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</row>
    <row r="2" spans="1:7" x14ac:dyDescent="0.35">
      <c r="A2" t="s">
        <v>11</v>
      </c>
      <c r="B2" t="str">
        <f>"rg:dataset('audit.csv','"&amp;$A2&amp;"')"</f>
        <v>rg:dataset('audit.csv','knob')</v>
      </c>
      <c r="C2" t="str">
        <f>"rg:dataset('publiccomments.csv','"&amp;$A2&amp;"')"</f>
        <v>rg:dataset('publiccomments.csv','knob')</v>
      </c>
      <c r="D2" t="str">
        <f>"rg:dataset('notifications.csv','"&amp;$A2&amp;"')"</f>
        <v>rg:dataset('notifications.csv','knob')</v>
      </c>
      <c r="E2" t="str">
        <f>"rg:dataset('issues.csv','"&amp;$A2&amp;"')"</f>
        <v>rg:dataset('issues.csv','knob')</v>
      </c>
      <c r="F2" t="str">
        <f>"rg:dataset('approvals.csv','"&amp;$A2&amp;"')"</f>
        <v>rg:dataset('approvals.csv','knob')</v>
      </c>
      <c r="G2" t="str">
        <f>"rg:dataset('conditions.csv','"&amp;$A2&amp;"')"</f>
        <v>rg:dataset('conditions.csv','knob')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selection activeCell="A2" sqref="A2"/>
    </sheetView>
  </sheetViews>
  <sheetFormatPr defaultRowHeight="15.5" x14ac:dyDescent="0.35"/>
  <cols>
    <col min="1" max="1" width="4.9140625" bestFit="1" customWidth="1"/>
    <col min="2" max="2" width="15.9140625" bestFit="1" customWidth="1"/>
    <col min="3" max="3" width="17.08203125" bestFit="1" customWidth="1"/>
    <col min="4" max="4" width="16.4140625" bestFit="1" customWidth="1"/>
    <col min="5" max="5" width="6.33203125" bestFit="1" customWidth="1"/>
    <col min="6" max="6" width="22.58203125" bestFit="1" customWidth="1"/>
    <col min="7" max="7" width="33.6640625" bestFit="1" customWidth="1"/>
    <col min="8" max="8" width="25.58203125" bestFit="1" customWidth="1"/>
    <col min="9" max="9" width="17.83203125" bestFit="1" customWidth="1"/>
  </cols>
  <sheetData>
    <row r="1" spans="1:9" x14ac:dyDescent="0.35">
      <c r="A1" t="s">
        <v>0</v>
      </c>
      <c r="B1" t="s">
        <v>83</v>
      </c>
      <c r="C1" t="s">
        <v>71</v>
      </c>
      <c r="D1" t="s">
        <v>2</v>
      </c>
      <c r="E1" t="s">
        <v>98</v>
      </c>
      <c r="F1" t="s">
        <v>99</v>
      </c>
      <c r="G1" t="s">
        <v>102</v>
      </c>
      <c r="H1" t="s">
        <v>100</v>
      </c>
      <c r="I1" t="s">
        <v>101</v>
      </c>
    </row>
    <row r="2" spans="1:9" x14ac:dyDescent="0.35">
      <c r="A2" t="str">
        <f>IF(ISBLANK(Requirements!A2),"-",Requirements!A2)</f>
        <v>knob</v>
      </c>
      <c r="B2" t="str">
        <f>SUBSTITUTE(LOWER(D2)," ","")</f>
        <v>projectdescription</v>
      </c>
      <c r="C2" t="str">
        <f>Requirements!B2</f>
        <v>document approval</v>
      </c>
      <c r="D2" t="str">
        <f>Requirements!C2</f>
        <v>Project Description</v>
      </c>
      <c r="E2" t="s">
        <v>112</v>
      </c>
      <c r="F2" t="str">
        <f ca="1">IF(ISBLANK(Requirements!E2),"rg:None",TEXT(TODAY()+Requirements!E2,"YYYY-MM-DDTHH:mm:SS.000Z"))</f>
        <v>2014-07-15T00:00:00.000Z</v>
      </c>
      <c r="G2" t="str">
        <f>"rg:{'_id': '"&amp;Requirements!F2&amp;"'}"</f>
        <v>rg:{'_id': 'WilliamSButler@einrot.com'}</v>
      </c>
      <c r="H2" t="str">
        <f>IF(ISBLANK(Requirements!G2),"rg:None", "rg:{ '_id' : '"&amp;Requirements!G2&amp;"'}")</f>
        <v>rg:{ '_id' : 'projectdescription'}</v>
      </c>
      <c r="I2" t="str">
        <f>IF(ISBLANK(Requirements!H2),"rg:None", "rg:{ '_id' : '"&amp;Requirements!H2&amp;"'}")</f>
        <v>rg:{ '_id' : 'apprdesc'}</v>
      </c>
    </row>
    <row r="3" spans="1:9" x14ac:dyDescent="0.35">
      <c r="A3" t="str">
        <f>IF(ISBLANK(Requirements!A3),"-",Requirements!A3)</f>
        <v>knob</v>
      </c>
      <c r="B3" t="str">
        <f t="shared" ref="B3:B28" si="0">SUBSTITUTE(LOWER(D3)," ","")</f>
        <v>section10.1c</v>
      </c>
      <c r="C3" t="str">
        <f>Requirements!B3</f>
        <v>document approval</v>
      </c>
      <c r="D3" t="str">
        <f>Requirements!C3</f>
        <v>Section 10.1c</v>
      </c>
      <c r="E3" t="s">
        <v>112</v>
      </c>
      <c r="F3" t="str">
        <f ca="1">IF(ISBLANK(Requirements!E3),"rg:None",TEXT(TODAY()+Requirements!E3,"YYYY-MM-DDTHH:mm:SS.000Z"))</f>
        <v>2014-07-23T00:00:00.000Z</v>
      </c>
      <c r="G3" t="str">
        <f>"rg:{'_id': '"&amp;Requirements!F3&amp;"'}"</f>
        <v>rg:{'_id': 'WilliamSButler@einrot.com'}</v>
      </c>
      <c r="H3" t="str">
        <f>IF(ISBLANK(Requirements!G3),"rg:None", "rg:{ '_id' : '"&amp;Requirements!G3&amp;"'}")</f>
        <v>rg:{ '_id' : 'projectdescription'}</v>
      </c>
      <c r="I3" t="str">
        <f>IF(ISBLANK(Requirements!H3),"rg:None", "rg:{ '_id' : '"&amp;Requirements!H3&amp;"'}")</f>
        <v>rg:{ '_id' : 'apprdesc'}</v>
      </c>
    </row>
    <row r="4" spans="1:9" x14ac:dyDescent="0.35">
      <c r="A4" t="str">
        <f>IF(ISBLANK(Requirements!A4),"-",Requirements!A4)</f>
        <v>-</v>
      </c>
      <c r="B4" t="str">
        <f t="shared" si="0"/>
        <v>0</v>
      </c>
      <c r="C4">
        <f>Requirements!B4</f>
        <v>0</v>
      </c>
      <c r="D4">
        <f>Requirements!C4</f>
        <v>0</v>
      </c>
      <c r="E4" t="s">
        <v>112</v>
      </c>
      <c r="F4" t="str">
        <f ca="1">IF(ISBLANK(Requirements!E4),"rg:None",TEXT(TODAY()+Requirements!E4,"YYYY-MM-DDTHH:mm:SS.000Z"))</f>
        <v>rg:None</v>
      </c>
      <c r="G4" t="str">
        <f>"rg:{'_id': '"&amp;Requirements!F4&amp;"'}"</f>
        <v>rg:{'_id': ''}</v>
      </c>
      <c r="H4" t="str">
        <f>IF(ISBLANK(Requirements!G4),"rg:None", "rg:{ '_id' : '"&amp;Requirements!G4&amp;"'}")</f>
        <v>rg:None</v>
      </c>
      <c r="I4" t="str">
        <f>IF(ISBLANK(Requirements!H4),"rg:None", "rg:{ '_id' : '"&amp;Requirements!H4&amp;"'}")</f>
        <v>rg:None</v>
      </c>
    </row>
    <row r="5" spans="1:9" x14ac:dyDescent="0.35">
      <c r="A5" t="str">
        <f>IF(ISBLANK(Requirements!A5),"-",Requirements!A5)</f>
        <v>-</v>
      </c>
      <c r="B5" t="str">
        <f t="shared" si="0"/>
        <v>0</v>
      </c>
      <c r="C5">
        <f>Requirements!B5</f>
        <v>0</v>
      </c>
      <c r="D5">
        <f>Requirements!C5</f>
        <v>0</v>
      </c>
      <c r="E5" t="s">
        <v>112</v>
      </c>
      <c r="F5" t="str">
        <f ca="1">IF(ISBLANK(Requirements!E5),"rg:None",TEXT(TODAY()+Requirements!E5,"YYYY-MM-DDTHH:mm:SS.000Z"))</f>
        <v>rg:None</v>
      </c>
      <c r="G5" t="str">
        <f>"rg:{'_id': '"&amp;Requirements!F5&amp;"'}"</f>
        <v>rg:{'_id': ''}</v>
      </c>
      <c r="H5" t="str">
        <f>IF(ISBLANK(Requirements!G5),"rg:None", "rg:{ '_id' : '"&amp;Requirements!G5&amp;"'}")</f>
        <v>rg:None</v>
      </c>
      <c r="I5" t="str">
        <f>IF(ISBLANK(Requirements!H5),"rg:None", "rg:{ '_id' : '"&amp;Requirements!H5&amp;"'}")</f>
        <v>rg:None</v>
      </c>
    </row>
    <row r="6" spans="1:9" x14ac:dyDescent="0.35">
      <c r="A6" t="str">
        <f>IF(ISBLANK(Requirements!A6),"-",Requirements!A6)</f>
        <v>-</v>
      </c>
      <c r="B6" t="str">
        <f t="shared" si="0"/>
        <v>0</v>
      </c>
      <c r="C6">
        <f>Requirements!B6</f>
        <v>0</v>
      </c>
      <c r="D6">
        <f>Requirements!C6</f>
        <v>0</v>
      </c>
      <c r="E6" t="s">
        <v>112</v>
      </c>
      <c r="F6" t="str">
        <f ca="1">IF(ISBLANK(Requirements!E6),"rg:None",TEXT(TODAY()+Requirements!E6,"YYYY-MM-DDTHH:mm:SS.000Z"))</f>
        <v>rg:None</v>
      </c>
      <c r="G6" t="str">
        <f>"rg:{'_id': '"&amp;Requirements!F6&amp;"'}"</f>
        <v>rg:{'_id': ''}</v>
      </c>
      <c r="H6" t="str">
        <f>IF(ISBLANK(Requirements!G6),"rg:None", "rg:{ '_id' : '"&amp;Requirements!G6&amp;"'}")</f>
        <v>rg:None</v>
      </c>
      <c r="I6" t="str">
        <f>IF(ISBLANK(Requirements!H6),"rg:None", "rg:{ '_id' : '"&amp;Requirements!H6&amp;"'}")</f>
        <v>rg:None</v>
      </c>
    </row>
    <row r="7" spans="1:9" x14ac:dyDescent="0.35">
      <c r="A7" t="str">
        <f>IF(ISBLANK(Requirements!A7),"-",Requirements!A7)</f>
        <v>-</v>
      </c>
      <c r="B7" t="str">
        <f t="shared" si="0"/>
        <v>0</v>
      </c>
      <c r="C7">
        <f>Requirements!B7</f>
        <v>0</v>
      </c>
      <c r="D7">
        <f>Requirements!C7</f>
        <v>0</v>
      </c>
      <c r="E7" t="s">
        <v>112</v>
      </c>
      <c r="F7" t="str">
        <f ca="1">IF(ISBLANK(Requirements!E7),"rg:None",TEXT(TODAY()+Requirements!E7,"YYYY-MM-DDTHH:mm:SS.000Z"))</f>
        <v>rg:None</v>
      </c>
      <c r="G7" t="str">
        <f>"rg:{'_id': '"&amp;Requirements!F7&amp;"'}"</f>
        <v>rg:{'_id': ''}</v>
      </c>
      <c r="H7" t="str">
        <f>IF(ISBLANK(Requirements!G7),"rg:None", "rg:{ '_id' : '"&amp;Requirements!G7&amp;"'}")</f>
        <v>rg:None</v>
      </c>
      <c r="I7" t="str">
        <f>IF(ISBLANK(Requirements!H7),"rg:None", "rg:{ '_id' : '"&amp;Requirements!H7&amp;"'}")</f>
        <v>rg:None</v>
      </c>
    </row>
    <row r="8" spans="1:9" x14ac:dyDescent="0.35">
      <c r="A8" t="str">
        <f>IF(ISBLANK(Requirements!A8),"-",Requirements!A8)</f>
        <v>-</v>
      </c>
      <c r="B8" t="str">
        <f t="shared" si="0"/>
        <v>0</v>
      </c>
      <c r="C8">
        <f>Requirements!B8</f>
        <v>0</v>
      </c>
      <c r="D8">
        <f>Requirements!C8</f>
        <v>0</v>
      </c>
      <c r="E8" t="s">
        <v>112</v>
      </c>
      <c r="F8" t="str">
        <f ca="1">IF(ISBLANK(Requirements!E8),"rg:None",TEXT(TODAY()+Requirements!E8,"YYYY-MM-DDTHH:mm:SS.000Z"))</f>
        <v>rg:None</v>
      </c>
      <c r="G8" t="str">
        <f>"rg:{'_id': '"&amp;Requirements!F8&amp;"'}"</f>
        <v>rg:{'_id': ''}</v>
      </c>
      <c r="H8" t="str">
        <f>IF(ISBLANK(Requirements!G8),"rg:None", "rg:{ '_id' : '"&amp;Requirements!G8&amp;"'}")</f>
        <v>rg:None</v>
      </c>
      <c r="I8" t="str">
        <f>IF(ISBLANK(Requirements!H8),"rg:None", "rg:{ '_id' : '"&amp;Requirements!H8&amp;"'}")</f>
        <v>rg:None</v>
      </c>
    </row>
    <row r="9" spans="1:9" x14ac:dyDescent="0.35">
      <c r="A9" t="str">
        <f>IF(ISBLANK(Requirements!A9),"-",Requirements!A9)</f>
        <v>-</v>
      </c>
      <c r="B9" t="str">
        <f t="shared" si="0"/>
        <v>0</v>
      </c>
      <c r="C9">
        <f>Requirements!B9</f>
        <v>0</v>
      </c>
      <c r="D9">
        <f>Requirements!C9</f>
        <v>0</v>
      </c>
      <c r="E9" t="s">
        <v>112</v>
      </c>
      <c r="F9" t="str">
        <f ca="1">IF(ISBLANK(Requirements!E9),"rg:None",TEXT(TODAY()+Requirements!E9,"YYYY-MM-DDTHH:mm:SS.000Z"))</f>
        <v>rg:None</v>
      </c>
      <c r="G9" t="str">
        <f>"rg:{'_id': '"&amp;Requirements!F9&amp;"'}"</f>
        <v>rg:{'_id': ''}</v>
      </c>
      <c r="H9" t="str">
        <f>IF(ISBLANK(Requirements!G9),"rg:None", "rg:{ '_id' : '"&amp;Requirements!G9&amp;"'}")</f>
        <v>rg:None</v>
      </c>
      <c r="I9" t="str">
        <f>IF(ISBLANK(Requirements!H9),"rg:None", "rg:{ '_id' : '"&amp;Requirements!H9&amp;"'}")</f>
        <v>rg:None</v>
      </c>
    </row>
    <row r="10" spans="1:9" x14ac:dyDescent="0.35">
      <c r="A10" t="str">
        <f>IF(ISBLANK(Requirements!A10),"-",Requirements!A10)</f>
        <v>-</v>
      </c>
      <c r="B10" t="str">
        <f t="shared" si="0"/>
        <v>0</v>
      </c>
      <c r="C10">
        <f>Requirements!B10</f>
        <v>0</v>
      </c>
      <c r="D10">
        <f>Requirements!C10</f>
        <v>0</v>
      </c>
      <c r="E10" t="s">
        <v>112</v>
      </c>
      <c r="F10" t="str">
        <f ca="1">IF(ISBLANK(Requirements!E10),"rg:None",TEXT(TODAY()+Requirements!E10,"YYYY-MM-DDTHH:mm:SS.000Z"))</f>
        <v>rg:None</v>
      </c>
      <c r="G10" t="str">
        <f>"rg:{'_id': '"&amp;Requirements!F10&amp;"'}"</f>
        <v>rg:{'_id': ''}</v>
      </c>
      <c r="H10" t="str">
        <f>IF(ISBLANK(Requirements!G10),"rg:None", "rg:{ '_id' : '"&amp;Requirements!G10&amp;"'}")</f>
        <v>rg:None</v>
      </c>
      <c r="I10" t="str">
        <f>IF(ISBLANK(Requirements!H10),"rg:None", "rg:{ '_id' : '"&amp;Requirements!H10&amp;"'}")</f>
        <v>rg:None</v>
      </c>
    </row>
    <row r="11" spans="1:9" x14ac:dyDescent="0.35">
      <c r="A11" t="str">
        <f>IF(ISBLANK(Requirements!A11),"-",Requirements!A11)</f>
        <v>-</v>
      </c>
      <c r="B11" t="str">
        <f t="shared" si="0"/>
        <v>0</v>
      </c>
      <c r="C11">
        <f>Requirements!B11</f>
        <v>0</v>
      </c>
      <c r="D11">
        <f>Requirements!C11</f>
        <v>0</v>
      </c>
      <c r="E11" t="s">
        <v>112</v>
      </c>
      <c r="F11" t="str">
        <f ca="1">IF(ISBLANK(Requirements!E11),"rg:None",TEXT(TODAY()+Requirements!E11,"YYYY-MM-DDTHH:mm:SS.000Z"))</f>
        <v>rg:None</v>
      </c>
      <c r="G11" t="str">
        <f>"rg:{'_id': '"&amp;Requirements!F11&amp;"'}"</f>
        <v>rg:{'_id': ''}</v>
      </c>
      <c r="H11" t="str">
        <f>IF(ISBLANK(Requirements!G11),"rg:None", "rg:{ '_id' : '"&amp;Requirements!G11&amp;"'}")</f>
        <v>rg:None</v>
      </c>
      <c r="I11" t="str">
        <f>IF(ISBLANK(Requirements!H11),"rg:None", "rg:{ '_id' : '"&amp;Requirements!H11&amp;"'}")</f>
        <v>rg:None</v>
      </c>
    </row>
    <row r="12" spans="1:9" x14ac:dyDescent="0.35">
      <c r="A12" t="str">
        <f>IF(ISBLANK(Requirements!A12),"-",Requirements!A12)</f>
        <v>-</v>
      </c>
      <c r="B12" t="str">
        <f t="shared" si="0"/>
        <v>0</v>
      </c>
      <c r="C12">
        <f>Requirements!B12</f>
        <v>0</v>
      </c>
      <c r="D12">
        <f>Requirements!C12</f>
        <v>0</v>
      </c>
      <c r="E12" t="s">
        <v>112</v>
      </c>
      <c r="F12" t="str">
        <f ca="1">IF(ISBLANK(Requirements!E12),"rg:None",TEXT(TODAY()+Requirements!E12,"YYYY-MM-DDTHH:mm:SS.000Z"))</f>
        <v>rg:None</v>
      </c>
      <c r="G12" t="str">
        <f>"rg:{'_id': '"&amp;Requirements!F12&amp;"'}"</f>
        <v>rg:{'_id': ''}</v>
      </c>
      <c r="H12" t="str">
        <f>IF(ISBLANK(Requirements!G12),"rg:None", "rg:{ '_id' : '"&amp;Requirements!G12&amp;"'}")</f>
        <v>rg:None</v>
      </c>
      <c r="I12" t="str">
        <f>IF(ISBLANK(Requirements!H12),"rg:None", "rg:{ '_id' : '"&amp;Requirements!H12&amp;"'}")</f>
        <v>rg:None</v>
      </c>
    </row>
    <row r="13" spans="1:9" x14ac:dyDescent="0.35">
      <c r="A13" t="str">
        <f>IF(ISBLANK(Requirements!A13),"-",Requirements!A13)</f>
        <v>-</v>
      </c>
      <c r="B13" t="str">
        <f t="shared" si="0"/>
        <v>0</v>
      </c>
      <c r="C13">
        <f>Requirements!B13</f>
        <v>0</v>
      </c>
      <c r="D13">
        <f>Requirements!C13</f>
        <v>0</v>
      </c>
      <c r="E13" t="s">
        <v>112</v>
      </c>
      <c r="F13" t="str">
        <f ca="1">IF(ISBLANK(Requirements!E13),"rg:None",TEXT(TODAY()+Requirements!E13,"YYYY-MM-DDTHH:mm:SS.000Z"))</f>
        <v>rg:None</v>
      </c>
      <c r="G13" t="str">
        <f>"rg:{'_id': '"&amp;Requirements!F13&amp;"'}"</f>
        <v>rg:{'_id': ''}</v>
      </c>
      <c r="H13" t="str">
        <f>IF(ISBLANK(Requirements!G13),"rg:None", "rg:{ '_id' : '"&amp;Requirements!G13&amp;"'}")</f>
        <v>rg:None</v>
      </c>
      <c r="I13" t="str">
        <f>IF(ISBLANK(Requirements!H13),"rg:None", "rg:{ '_id' : '"&amp;Requirements!H13&amp;"'}")</f>
        <v>rg:None</v>
      </c>
    </row>
    <row r="14" spans="1:9" x14ac:dyDescent="0.35">
      <c r="A14" t="str">
        <f>IF(ISBLANK(Requirements!A14),"-",Requirements!A14)</f>
        <v>-</v>
      </c>
      <c r="B14" t="str">
        <f t="shared" si="0"/>
        <v>0</v>
      </c>
      <c r="C14">
        <f>Requirements!B14</f>
        <v>0</v>
      </c>
      <c r="D14">
        <f>Requirements!C14</f>
        <v>0</v>
      </c>
      <c r="E14" t="s">
        <v>112</v>
      </c>
      <c r="F14" t="str">
        <f ca="1">IF(ISBLANK(Requirements!E14),"rg:None",TEXT(TODAY()+Requirements!E14,"YYYY-MM-DDTHH:mm:SS.000Z"))</f>
        <v>rg:None</v>
      </c>
      <c r="G14" t="str">
        <f>"rg:{'_id': '"&amp;Requirements!F14&amp;"'}"</f>
        <v>rg:{'_id': ''}</v>
      </c>
      <c r="H14" t="str">
        <f>IF(ISBLANK(Requirements!G14),"rg:None", "rg:{ '_id' : '"&amp;Requirements!G14&amp;"'}")</f>
        <v>rg:None</v>
      </c>
      <c r="I14" t="str">
        <f>IF(ISBLANK(Requirements!H14),"rg:None", "rg:{ '_id' : '"&amp;Requirements!H14&amp;"'}")</f>
        <v>rg:None</v>
      </c>
    </row>
    <row r="15" spans="1:9" x14ac:dyDescent="0.35">
      <c r="A15" t="str">
        <f>IF(ISBLANK(Requirements!A15),"-",Requirements!A15)</f>
        <v>-</v>
      </c>
      <c r="B15" t="str">
        <f t="shared" si="0"/>
        <v>0</v>
      </c>
      <c r="C15">
        <f>Requirements!B15</f>
        <v>0</v>
      </c>
      <c r="D15">
        <f>Requirements!C15</f>
        <v>0</v>
      </c>
      <c r="E15" t="s">
        <v>112</v>
      </c>
      <c r="F15" t="str">
        <f ca="1">IF(ISBLANK(Requirements!E15),"rg:None",TEXT(TODAY()+Requirements!E15,"YYYY-MM-DDTHH:mm:SS.000Z"))</f>
        <v>rg:None</v>
      </c>
      <c r="G15" t="str">
        <f>"rg:{'_id': '"&amp;Requirements!F15&amp;"'}"</f>
        <v>rg:{'_id': ''}</v>
      </c>
      <c r="H15" t="str">
        <f>IF(ISBLANK(Requirements!G15),"rg:None", "rg:{ '_id' : '"&amp;Requirements!G15&amp;"'}")</f>
        <v>rg:None</v>
      </c>
      <c r="I15" t="str">
        <f>IF(ISBLANK(Requirements!H15),"rg:None", "rg:{ '_id' : '"&amp;Requirements!H15&amp;"'}")</f>
        <v>rg:None</v>
      </c>
    </row>
    <row r="16" spans="1:9" x14ac:dyDescent="0.35">
      <c r="A16" t="str">
        <f>IF(ISBLANK(Requirements!A16),"-",Requirements!A16)</f>
        <v>-</v>
      </c>
      <c r="B16" t="str">
        <f t="shared" si="0"/>
        <v>0</v>
      </c>
      <c r="C16">
        <f>Requirements!B16</f>
        <v>0</v>
      </c>
      <c r="D16">
        <f>Requirements!C16</f>
        <v>0</v>
      </c>
      <c r="E16" t="s">
        <v>112</v>
      </c>
      <c r="F16" t="str">
        <f ca="1">IF(ISBLANK(Requirements!E16),"rg:None",TEXT(TODAY()+Requirements!E16,"YYYY-MM-DDTHH:mm:SS.000Z"))</f>
        <v>rg:None</v>
      </c>
      <c r="G16" t="str">
        <f>"rg:{'_id': '"&amp;Requirements!F16&amp;"'}"</f>
        <v>rg:{'_id': ''}</v>
      </c>
      <c r="H16" t="str">
        <f>IF(ISBLANK(Requirements!G16),"rg:None", "rg:{ '_id' : '"&amp;Requirements!G16&amp;"'}")</f>
        <v>rg:None</v>
      </c>
      <c r="I16" t="str">
        <f>IF(ISBLANK(Requirements!H16),"rg:None", "rg:{ '_id' : '"&amp;Requirements!H16&amp;"'}")</f>
        <v>rg:None</v>
      </c>
    </row>
    <row r="17" spans="1:9" x14ac:dyDescent="0.35">
      <c r="A17" t="str">
        <f>IF(ISBLANK(Requirements!A17),"-",Requirements!A17)</f>
        <v>-</v>
      </c>
      <c r="B17" t="str">
        <f t="shared" si="0"/>
        <v>0</v>
      </c>
      <c r="C17">
        <f>Requirements!B17</f>
        <v>0</v>
      </c>
      <c r="D17">
        <f>Requirements!C17</f>
        <v>0</v>
      </c>
      <c r="E17" t="s">
        <v>112</v>
      </c>
      <c r="F17" t="str">
        <f ca="1">IF(ISBLANK(Requirements!E17),"rg:None",TEXT(TODAY()+Requirements!E17,"YYYY-MM-DDTHH:mm:SS.000Z"))</f>
        <v>rg:None</v>
      </c>
      <c r="G17" t="str">
        <f>"rg:{'_id': '"&amp;Requirements!F17&amp;"'}"</f>
        <v>rg:{'_id': ''}</v>
      </c>
      <c r="H17" t="str">
        <f>IF(ISBLANK(Requirements!G17),"rg:None", "rg:{ '_id' : '"&amp;Requirements!G17&amp;"'}")</f>
        <v>rg:None</v>
      </c>
      <c r="I17" t="str">
        <f>IF(ISBLANK(Requirements!H17),"rg:None", "rg:{ '_id' : '"&amp;Requirements!H17&amp;"'}")</f>
        <v>rg:None</v>
      </c>
    </row>
    <row r="18" spans="1:9" x14ac:dyDescent="0.35">
      <c r="A18" t="str">
        <f>IF(ISBLANK(Requirements!A18),"-",Requirements!A18)</f>
        <v>-</v>
      </c>
      <c r="B18" t="str">
        <f t="shared" si="0"/>
        <v>0</v>
      </c>
      <c r="C18">
        <f>Requirements!B18</f>
        <v>0</v>
      </c>
      <c r="D18">
        <f>Requirements!C18</f>
        <v>0</v>
      </c>
      <c r="E18" t="s">
        <v>112</v>
      </c>
      <c r="F18" t="str">
        <f ca="1">IF(ISBLANK(Requirements!E18),"rg:None",TEXT(TODAY()+Requirements!E18,"YYYY-MM-DDTHH:mm:SS.000Z"))</f>
        <v>rg:None</v>
      </c>
      <c r="G18" t="str">
        <f>"rg:{'_id': '"&amp;Requirements!F18&amp;"'}"</f>
        <v>rg:{'_id': ''}</v>
      </c>
      <c r="H18" t="str">
        <f>IF(ISBLANK(Requirements!G18),"rg:None", "rg:{ '_id' : '"&amp;Requirements!G18&amp;"'}")</f>
        <v>rg:None</v>
      </c>
      <c r="I18" t="str">
        <f>IF(ISBLANK(Requirements!H18),"rg:None", "rg:{ '_id' : '"&amp;Requirements!H18&amp;"'}")</f>
        <v>rg:None</v>
      </c>
    </row>
    <row r="19" spans="1:9" x14ac:dyDescent="0.35">
      <c r="A19" t="str">
        <f>IF(ISBLANK(Requirements!A19),"-",Requirements!A19)</f>
        <v>-</v>
      </c>
      <c r="B19" t="str">
        <f t="shared" si="0"/>
        <v>0</v>
      </c>
      <c r="C19">
        <f>Requirements!B19</f>
        <v>0</v>
      </c>
      <c r="D19">
        <f>Requirements!C19</f>
        <v>0</v>
      </c>
      <c r="E19" t="s">
        <v>112</v>
      </c>
      <c r="F19" t="str">
        <f ca="1">IF(ISBLANK(Requirements!E19),"rg:None",TEXT(TODAY()+Requirements!E19,"YYYY-MM-DDTHH:mm:SS.000Z"))</f>
        <v>rg:None</v>
      </c>
      <c r="G19" t="str">
        <f>"rg:{'_id': '"&amp;Requirements!F19&amp;"'}"</f>
        <v>rg:{'_id': ''}</v>
      </c>
      <c r="H19" t="str">
        <f>IF(ISBLANK(Requirements!G19),"rg:None", "rg:{ '_id' : '"&amp;Requirements!G19&amp;"'}")</f>
        <v>rg:None</v>
      </c>
      <c r="I19" t="str">
        <f>IF(ISBLANK(Requirements!H19),"rg:None", "rg:{ '_id' : '"&amp;Requirements!H19&amp;"'}")</f>
        <v>rg:None</v>
      </c>
    </row>
    <row r="20" spans="1:9" x14ac:dyDescent="0.35">
      <c r="A20" t="str">
        <f>IF(ISBLANK(Requirements!A20),"-",Requirements!A20)</f>
        <v>-</v>
      </c>
      <c r="B20" t="str">
        <f t="shared" si="0"/>
        <v>0</v>
      </c>
      <c r="C20">
        <f>Requirements!B20</f>
        <v>0</v>
      </c>
      <c r="D20">
        <f>Requirements!C20</f>
        <v>0</v>
      </c>
      <c r="E20" t="s">
        <v>112</v>
      </c>
      <c r="F20" t="str">
        <f ca="1">IF(ISBLANK(Requirements!E20),"rg:None",TEXT(TODAY()+Requirements!E20,"YYYY-MM-DDTHH:mm:SS.000Z"))</f>
        <v>rg:None</v>
      </c>
      <c r="G20" t="str">
        <f>"rg:{'_id': '"&amp;Requirements!F20&amp;"'}"</f>
        <v>rg:{'_id': ''}</v>
      </c>
      <c r="H20" t="str">
        <f>IF(ISBLANK(Requirements!G20),"rg:None", "rg:{ '_id' : '"&amp;Requirements!G20&amp;"'}")</f>
        <v>rg:None</v>
      </c>
      <c r="I20" t="str">
        <f>IF(ISBLANK(Requirements!H20),"rg:None", "rg:{ '_id' : '"&amp;Requirements!H20&amp;"'}")</f>
        <v>rg:None</v>
      </c>
    </row>
    <row r="21" spans="1:9" x14ac:dyDescent="0.35">
      <c r="A21" t="str">
        <f>IF(ISBLANK(Requirements!A21),"-",Requirements!A21)</f>
        <v>-</v>
      </c>
      <c r="B21" t="str">
        <f t="shared" si="0"/>
        <v>0</v>
      </c>
      <c r="C21">
        <f>Requirements!B21</f>
        <v>0</v>
      </c>
      <c r="D21">
        <f>Requirements!C21</f>
        <v>0</v>
      </c>
      <c r="E21" t="s">
        <v>112</v>
      </c>
      <c r="F21" t="str">
        <f ca="1">IF(ISBLANK(Requirements!E21),"rg:None",TEXT(TODAY()+Requirements!E21,"YYYY-MM-DDTHH:mm:SS.000Z"))</f>
        <v>rg:None</v>
      </c>
      <c r="G21" t="str">
        <f>"rg:{'_id': '"&amp;Requirements!F21&amp;"'}"</f>
        <v>rg:{'_id': ''}</v>
      </c>
      <c r="H21" t="str">
        <f>IF(ISBLANK(Requirements!G21),"rg:None", "rg:{ '_id' : '"&amp;Requirements!G21&amp;"'}")</f>
        <v>rg:None</v>
      </c>
      <c r="I21" t="str">
        <f>IF(ISBLANK(Requirements!H21),"rg:None", "rg:{ '_id' : '"&amp;Requirements!H21&amp;"'}")</f>
        <v>rg:None</v>
      </c>
    </row>
    <row r="22" spans="1:9" x14ac:dyDescent="0.35">
      <c r="A22" t="str">
        <f>IF(ISBLANK(Requirements!A22),"-",Requirements!A22)</f>
        <v>-</v>
      </c>
      <c r="B22" t="str">
        <f t="shared" si="0"/>
        <v>0</v>
      </c>
      <c r="C22">
        <f>Requirements!B22</f>
        <v>0</v>
      </c>
      <c r="D22">
        <f>Requirements!C22</f>
        <v>0</v>
      </c>
      <c r="E22" t="s">
        <v>112</v>
      </c>
      <c r="F22" t="str">
        <f ca="1">IF(ISBLANK(Requirements!E22),"rg:None",TEXT(TODAY()+Requirements!E22,"YYYY-MM-DDTHH:mm:SS.000Z"))</f>
        <v>rg:None</v>
      </c>
      <c r="G22" t="str">
        <f>"rg:{'_id': '"&amp;Requirements!F22&amp;"'}"</f>
        <v>rg:{'_id': ''}</v>
      </c>
      <c r="H22" t="str">
        <f>IF(ISBLANK(Requirements!G22),"rg:None", "rg:{ '_id' : '"&amp;Requirements!G22&amp;"'}")</f>
        <v>rg:None</v>
      </c>
      <c r="I22" t="str">
        <f>IF(ISBLANK(Requirements!H22),"rg:None", "rg:{ '_id' : '"&amp;Requirements!H22&amp;"'}")</f>
        <v>rg:None</v>
      </c>
    </row>
    <row r="23" spans="1:9" x14ac:dyDescent="0.35">
      <c r="A23" t="str">
        <f>IF(ISBLANK(Requirements!A23),"-",Requirements!A23)</f>
        <v>-</v>
      </c>
      <c r="B23" t="str">
        <f t="shared" si="0"/>
        <v>0</v>
      </c>
      <c r="C23">
        <f>Requirements!B23</f>
        <v>0</v>
      </c>
      <c r="D23">
        <f>Requirements!C23</f>
        <v>0</v>
      </c>
      <c r="E23" t="s">
        <v>112</v>
      </c>
      <c r="F23" t="str">
        <f ca="1">IF(ISBLANK(Requirements!E23),"rg:None",TEXT(TODAY()+Requirements!E23,"YYYY-MM-DDTHH:mm:SS.000Z"))</f>
        <v>rg:None</v>
      </c>
      <c r="G23" t="str">
        <f>"rg:{'_id': '"&amp;Requirements!F23&amp;"'}"</f>
        <v>rg:{'_id': ''}</v>
      </c>
      <c r="H23" t="str">
        <f>IF(ISBLANK(Requirements!G23),"rg:None", "rg:{ '_id' : '"&amp;Requirements!G23&amp;"'}")</f>
        <v>rg:None</v>
      </c>
      <c r="I23" t="str">
        <f>IF(ISBLANK(Requirements!H23),"rg:None", "rg:{ '_id' : '"&amp;Requirements!H23&amp;"'}")</f>
        <v>rg:None</v>
      </c>
    </row>
    <row r="24" spans="1:9" x14ac:dyDescent="0.35">
      <c r="A24" t="str">
        <f>IF(ISBLANK(Requirements!A24),"-",Requirements!A24)</f>
        <v>-</v>
      </c>
      <c r="B24" t="str">
        <f t="shared" si="0"/>
        <v>0</v>
      </c>
      <c r="C24">
        <f>Requirements!B24</f>
        <v>0</v>
      </c>
      <c r="D24">
        <f>Requirements!C24</f>
        <v>0</v>
      </c>
      <c r="E24" t="s">
        <v>112</v>
      </c>
      <c r="F24" t="str">
        <f ca="1">IF(ISBLANK(Requirements!E24),"rg:None",TEXT(TODAY()+Requirements!E24,"YYYY-MM-DDTHH:mm:SS.000Z"))</f>
        <v>rg:None</v>
      </c>
      <c r="G24" t="str">
        <f>"rg:{'_id': '"&amp;Requirements!F24&amp;"'}"</f>
        <v>rg:{'_id': ''}</v>
      </c>
      <c r="H24" t="str">
        <f>IF(ISBLANK(Requirements!G24),"rg:None", "rg:{ '_id' : '"&amp;Requirements!G24&amp;"'}")</f>
        <v>rg:None</v>
      </c>
      <c r="I24" t="str">
        <f>IF(ISBLANK(Requirements!H24),"rg:None", "rg:{ '_id' : '"&amp;Requirements!H24&amp;"'}")</f>
        <v>rg:None</v>
      </c>
    </row>
    <row r="25" spans="1:9" x14ac:dyDescent="0.35">
      <c r="A25" t="str">
        <f>IF(ISBLANK(Requirements!A25),"-",Requirements!A25)</f>
        <v>-</v>
      </c>
      <c r="B25" t="str">
        <f t="shared" si="0"/>
        <v>0</v>
      </c>
      <c r="C25">
        <f>Requirements!B25</f>
        <v>0</v>
      </c>
      <c r="D25">
        <f>Requirements!C25</f>
        <v>0</v>
      </c>
      <c r="E25" t="s">
        <v>112</v>
      </c>
      <c r="F25" t="str">
        <f ca="1">IF(ISBLANK(Requirements!E25),"rg:None",TEXT(TODAY()+Requirements!E25,"YYYY-MM-DDTHH:mm:SS.000Z"))</f>
        <v>rg:None</v>
      </c>
      <c r="G25" t="str">
        <f>"rg:{'_id': '"&amp;Requirements!F25&amp;"'}"</f>
        <v>rg:{'_id': ''}</v>
      </c>
      <c r="H25" t="str">
        <f>IF(ISBLANK(Requirements!G25),"rg:None", "rg:{ '_id' : '"&amp;Requirements!G25&amp;"'}")</f>
        <v>rg:None</v>
      </c>
      <c r="I25" t="str">
        <f>IF(ISBLANK(Requirements!H25),"rg:None", "rg:{ '_id' : '"&amp;Requirements!H25&amp;"'}")</f>
        <v>rg:None</v>
      </c>
    </row>
    <row r="26" spans="1:9" x14ac:dyDescent="0.35">
      <c r="A26" t="str">
        <f>IF(ISBLANK(Requirements!A26),"-",Requirements!A26)</f>
        <v>-</v>
      </c>
      <c r="B26" t="str">
        <f t="shared" si="0"/>
        <v>0</v>
      </c>
      <c r="C26">
        <f>Requirements!B26</f>
        <v>0</v>
      </c>
      <c r="D26">
        <f>Requirements!C26</f>
        <v>0</v>
      </c>
      <c r="E26" t="s">
        <v>112</v>
      </c>
      <c r="F26" t="str">
        <f ca="1">IF(ISBLANK(Requirements!E26),"rg:None",TEXT(TODAY()+Requirements!E26,"YYYY-MM-DDTHH:mm:SS.000Z"))</f>
        <v>rg:None</v>
      </c>
      <c r="G26" t="str">
        <f>"rg:{'_id': '"&amp;Requirements!F26&amp;"'}"</f>
        <v>rg:{'_id': ''}</v>
      </c>
      <c r="H26" t="str">
        <f>IF(ISBLANK(Requirements!G26),"rg:None", "rg:{ '_id' : '"&amp;Requirements!G26&amp;"'}")</f>
        <v>rg:None</v>
      </c>
      <c r="I26" t="str">
        <f>IF(ISBLANK(Requirements!H26),"rg:None", "rg:{ '_id' : '"&amp;Requirements!H26&amp;"'}")</f>
        <v>rg:None</v>
      </c>
    </row>
    <row r="27" spans="1:9" x14ac:dyDescent="0.35">
      <c r="A27" t="str">
        <f>IF(ISBLANK(Requirements!A27),"-",Requirements!A27)</f>
        <v>-</v>
      </c>
      <c r="B27" t="str">
        <f t="shared" si="0"/>
        <v>0</v>
      </c>
      <c r="C27">
        <f>Requirements!B27</f>
        <v>0</v>
      </c>
      <c r="D27">
        <f>Requirements!C27</f>
        <v>0</v>
      </c>
      <c r="E27" t="s">
        <v>112</v>
      </c>
      <c r="F27" t="str">
        <f ca="1">IF(ISBLANK(Requirements!E27),"rg:None",TEXT(TODAY()+Requirements!E27,"YYYY-MM-DDTHH:mm:SS.000Z"))</f>
        <v>rg:None</v>
      </c>
      <c r="G27" t="str">
        <f>"rg:{'_id': '"&amp;Requirements!F27&amp;"'}"</f>
        <v>rg:{'_id': ''}</v>
      </c>
      <c r="H27" t="str">
        <f>IF(ISBLANK(Requirements!G27),"rg:None", "rg:{ '_id' : '"&amp;Requirements!G27&amp;"'}")</f>
        <v>rg:None</v>
      </c>
      <c r="I27" t="str">
        <f>IF(ISBLANK(Requirements!H27),"rg:None", "rg:{ '_id' : '"&amp;Requirements!H27&amp;"'}")</f>
        <v>rg:None</v>
      </c>
    </row>
    <row r="28" spans="1:9" x14ac:dyDescent="0.35">
      <c r="A28" t="str">
        <f>IF(ISBLANK(Requirements!A28),"-",Requirements!A28)</f>
        <v>-</v>
      </c>
      <c r="B28" t="str">
        <f t="shared" si="0"/>
        <v>0</v>
      </c>
      <c r="C28">
        <f>Requirements!B28</f>
        <v>0</v>
      </c>
      <c r="D28">
        <f>Requirements!C28</f>
        <v>0</v>
      </c>
      <c r="E28" t="s">
        <v>112</v>
      </c>
      <c r="F28" t="str">
        <f ca="1">IF(ISBLANK(Requirements!E28),"rg:None",TEXT(TODAY()+Requirements!E28,"YYYY-MM-DDTHH:mm:SS.000Z"))</f>
        <v>rg:None</v>
      </c>
      <c r="G28" t="str">
        <f>"rg:{'_id': '"&amp;Requirements!F28&amp;"'}"</f>
        <v>rg:{'_id': ''}</v>
      </c>
      <c r="H28" t="str">
        <f>IF(ISBLANK(Requirements!G28),"rg:None", "rg:{ '_id' : '"&amp;Requirements!G28&amp;"'}")</f>
        <v>rg:None</v>
      </c>
      <c r="I28" t="str">
        <f>IF(ISBLANK(Requirements!H28),"rg:None", "rg:{ '_id' : '"&amp;Requirements!H28&amp;"'}")</f>
        <v>rg:None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D2" sqref="D2:D22"/>
    </sheetView>
  </sheetViews>
  <sheetFormatPr defaultRowHeight="15.5" x14ac:dyDescent="0.35"/>
  <sheetData>
    <row r="1" spans="1:8" x14ac:dyDescent="0.35">
      <c r="A1" t="s">
        <v>0</v>
      </c>
      <c r="B1" t="s">
        <v>83</v>
      </c>
      <c r="C1" t="s">
        <v>2</v>
      </c>
      <c r="D1" t="s">
        <v>85</v>
      </c>
      <c r="E1" t="s">
        <v>84</v>
      </c>
      <c r="F1" t="s">
        <v>86</v>
      </c>
      <c r="G1" t="s">
        <v>87</v>
      </c>
      <c r="H1" t="s">
        <v>88</v>
      </c>
    </row>
    <row r="2" spans="1:8" x14ac:dyDescent="0.35">
      <c r="A2" t="str">
        <f>IF(ISBLANK(Buckets!A2),"-",Buckets!A2)</f>
        <v>knob</v>
      </c>
      <c r="B2" t="str">
        <f>LOWER(SUBSTITUTE(C2," ",""))</f>
        <v>bats</v>
      </c>
      <c r="C2" t="str">
        <f>Buckets!B2</f>
        <v>Bats</v>
      </c>
      <c r="D2" t="str">
        <f>IF(Buckets!C2 = "Yes", "rg:True", "rg:False")</f>
        <v>rg:True</v>
      </c>
      <c r="E2" t="str">
        <f>Buckets!D2</f>
        <v>open</v>
      </c>
      <c r="F2">
        <f>Buckets!E2</f>
        <v>65</v>
      </c>
      <c r="G2" t="str">
        <f>IF(ISBLANK(Buckets!F2),"rg:[]","rg:dataset('reqset.csv', '"&amp;Buckets!F2&amp;"')")</f>
        <v>rg:[]</v>
      </c>
      <c r="H2" t="str">
        <f>IF(ISBLANK(Buckets!G2),"rg:[]","rg:dataset('reqset.csv', '"&amp;Buckets!G2&amp;"')")</f>
        <v>rg:[]</v>
      </c>
    </row>
    <row r="3" spans="1:8" x14ac:dyDescent="0.35">
      <c r="A3" t="str">
        <f>IF(ISBLANK(Buckets!A3),"-",Buckets!A3)</f>
        <v>knob</v>
      </c>
      <c r="B3" t="str">
        <f t="shared" ref="B3:B22" si="0">LOWER(SUBSTITUTE(C3," ",""))</f>
        <v>yellow-billedscissortail</v>
      </c>
      <c r="C3" t="str">
        <f>Buckets!B3</f>
        <v>Yellow-billed Scissortail</v>
      </c>
      <c r="D3" t="str">
        <f>IF(Buckets!C3 = "Yes", "rg:True", "rg:False")</f>
        <v>rg:True</v>
      </c>
      <c r="E3" t="str">
        <f>Buckets!D3</f>
        <v>complete</v>
      </c>
      <c r="F3">
        <f>Buckets!E3</f>
        <v>100</v>
      </c>
      <c r="G3" t="str">
        <f>IF(ISBLANK(Buckets!F3),"rg:[]","rg:dataset('reqset.csv', '"&amp;Buckets!F3&amp;"')")</f>
        <v>rg:[]</v>
      </c>
      <c r="H3" t="str">
        <f>IF(ISBLANK(Buckets!G3),"rg:[]","rg:dataset('reqset.csv', '"&amp;Buckets!G3&amp;"')")</f>
        <v>rg:[]</v>
      </c>
    </row>
    <row r="4" spans="1:8" x14ac:dyDescent="0.35">
      <c r="A4" t="str">
        <f>IF(ISBLANK(Buckets!A4),"-",Buckets!A4)</f>
        <v>knob</v>
      </c>
      <c r="B4" t="str">
        <f t="shared" si="0"/>
        <v>section10.1c</v>
      </c>
      <c r="C4" t="str">
        <f>Buckets!B4</f>
        <v>Section 10.1C</v>
      </c>
      <c r="D4" t="str">
        <f>IF(Buckets!C4 = "Yes", "rg:True", "rg:False")</f>
        <v>rg:False</v>
      </c>
      <c r="E4" t="str">
        <f>Buckets!D4</f>
        <v>open</v>
      </c>
      <c r="F4">
        <f>Buckets!E4</f>
        <v>100</v>
      </c>
      <c r="G4" t="str">
        <f>IF(ISBLANK(Buckets!F4),"rg:[]","rg:dataset('reqset.csv', '"&amp;Buckets!F4&amp;"')")</f>
        <v>rg:[]</v>
      </c>
      <c r="H4" t="str">
        <f>IF(ISBLANK(Buckets!G4),"rg:[]","rg:dataset('reqset.csv', '"&amp;Buckets!G4&amp;"')")</f>
        <v>rg:[]</v>
      </c>
    </row>
    <row r="5" spans="1:8" x14ac:dyDescent="0.35">
      <c r="A5" t="str">
        <f>IF(ISBLANK(Buckets!A5),"-",Buckets!A5)</f>
        <v>knob</v>
      </c>
      <c r="B5" t="str">
        <f t="shared" si="0"/>
        <v>section11</v>
      </c>
      <c r="C5" t="str">
        <f>Buckets!B5</f>
        <v>Section 11</v>
      </c>
      <c r="D5" t="str">
        <f>IF(Buckets!C5 = "Yes", "rg:True", "rg:False")</f>
        <v>rg:False</v>
      </c>
      <c r="E5" t="str">
        <f>Buckets!D5</f>
        <v>open</v>
      </c>
      <c r="F5">
        <f>Buckets!E5</f>
        <v>100</v>
      </c>
      <c r="G5" t="str">
        <f>IF(ISBLANK(Buckets!F5),"rg:[]","rg:dataset('reqset.csv', '"&amp;Buckets!F5&amp;"')")</f>
        <v>rg:[]</v>
      </c>
      <c r="H5" t="str">
        <f>IF(ISBLANK(Buckets!G5),"rg:[]","rg:dataset('reqset.csv', '"&amp;Buckets!G5&amp;"')")</f>
        <v>rg:[]</v>
      </c>
    </row>
    <row r="6" spans="1:8" x14ac:dyDescent="0.35">
      <c r="A6" t="str">
        <f>IF(ISBLANK(Buckets!A6),"-",Buckets!A6)</f>
        <v>knob</v>
      </c>
      <c r="B6" t="str">
        <f t="shared" si="0"/>
        <v>draftair</v>
      </c>
      <c r="C6" t="str">
        <f>Buckets!B6</f>
        <v>Draft AIR</v>
      </c>
      <c r="D6" t="str">
        <f>IF(Buckets!C6 = "Yes", "rg:True", "rg:False")</f>
        <v>rg:False</v>
      </c>
      <c r="E6" t="str">
        <f>Buckets!D6</f>
        <v>open</v>
      </c>
      <c r="F6">
        <f>Buckets!E6</f>
        <v>100</v>
      </c>
      <c r="G6" t="str">
        <f>IF(ISBLANK(Buckets!F6),"rg:[]","rg:dataset('reqset.csv', '"&amp;Buckets!F6&amp;"')")</f>
        <v>rg:[]</v>
      </c>
      <c r="H6" t="str">
        <f>IF(ISBLANK(Buckets!G6),"rg:[]","rg:dataset('reqset.csv', '"&amp;Buckets!G6&amp;"')")</f>
        <v>rg:[]</v>
      </c>
    </row>
    <row r="7" spans="1:8" x14ac:dyDescent="0.35">
      <c r="A7" t="str">
        <f>IF(ISBLANK(Buckets!A7),"-",Buckets!A7)</f>
        <v>knob</v>
      </c>
      <c r="B7" t="str">
        <f t="shared" si="0"/>
        <v>air</v>
      </c>
      <c r="C7" t="str">
        <f>Buckets!B7</f>
        <v>AIR</v>
      </c>
      <c r="D7" t="str">
        <f>IF(Buckets!C7 = "Yes", "rg:True", "rg:False")</f>
        <v>rg:False</v>
      </c>
      <c r="E7" t="str">
        <f>Buckets!D7</f>
        <v>open</v>
      </c>
      <c r="F7">
        <f>Buckets!E7</f>
        <v>85</v>
      </c>
      <c r="G7" t="str">
        <f>IF(ISBLANK(Buckets!F7),"rg:[]","rg:dataset('reqset.csv', '"&amp;Buckets!F7&amp;"')")</f>
        <v>rg:[]</v>
      </c>
      <c r="H7" t="str">
        <f>IF(ISBLANK(Buckets!G7),"rg:[]","rg:dataset('reqset.csv', '"&amp;Buckets!G7&amp;"')")</f>
        <v>rg:[]</v>
      </c>
    </row>
    <row r="8" spans="1:8" x14ac:dyDescent="0.35">
      <c r="A8" t="str">
        <f>IF(ISBLANK(Buckets!A8),"-",Buckets!A8)</f>
        <v>knob</v>
      </c>
      <c r="B8" t="str">
        <f t="shared" si="0"/>
        <v>application</v>
      </c>
      <c r="C8" t="str">
        <f>Buckets!B8</f>
        <v>Application</v>
      </c>
      <c r="D8" t="str">
        <f>IF(Buckets!C8 = "Yes", "rg:True", "rg:False")</f>
        <v>rg:False</v>
      </c>
      <c r="E8" t="str">
        <f>Buckets!D8</f>
        <v>open</v>
      </c>
      <c r="F8">
        <f>Buckets!E8</f>
        <v>25</v>
      </c>
      <c r="G8" t="str">
        <f>IF(ISBLANK(Buckets!F8),"rg:[]","rg:dataset('reqset.csv', '"&amp;Buckets!F8&amp;"')")</f>
        <v>rg:[]</v>
      </c>
      <c r="H8" t="str">
        <f>IF(ISBLANK(Buckets!G8),"rg:[]","rg:dataset('reqset.csv', '"&amp;Buckets!G8&amp;"')")</f>
        <v>rg:[]</v>
      </c>
    </row>
    <row r="9" spans="1:8" x14ac:dyDescent="0.35">
      <c r="A9" t="str">
        <f>IF(ISBLANK(Buckets!A9),"-",Buckets!A9)</f>
        <v>knob</v>
      </c>
      <c r="B9" t="str">
        <f t="shared" si="0"/>
        <v>squamishfninterests</v>
      </c>
      <c r="C9" t="str">
        <f>Buckets!B9</f>
        <v>Squamish FN Interests</v>
      </c>
      <c r="D9" t="str">
        <f>IF(Buckets!C9 = "Yes", "rg:True", "rg:False")</f>
        <v>rg:False</v>
      </c>
      <c r="E9" t="str">
        <f>Buckets!D9</f>
        <v>open</v>
      </c>
      <c r="F9">
        <f>Buckets!E9</f>
        <v>25</v>
      </c>
      <c r="G9" t="str">
        <f>IF(ISBLANK(Buckets!F9),"rg:[]","rg:dataset('reqset.csv', '"&amp;Buckets!F9&amp;"')")</f>
        <v>rg:[]</v>
      </c>
      <c r="H9" t="str">
        <f>IF(ISBLANK(Buckets!G9),"rg:[]","rg:dataset('reqset.csv', '"&amp;Buckets!G9&amp;"')")</f>
        <v>rg:[]</v>
      </c>
    </row>
    <row r="10" spans="1:8" x14ac:dyDescent="0.35">
      <c r="A10" t="str">
        <f>IF(ISBLANK(Buckets!A10),"-",Buckets!A10)</f>
        <v>knob</v>
      </c>
      <c r="B10" t="str">
        <f t="shared" si="0"/>
        <v>bridgeoversi-phaletsriver</v>
      </c>
      <c r="C10" t="str">
        <f>Buckets!B10</f>
        <v>Bridge over Si-Phalets River</v>
      </c>
      <c r="D10" t="str">
        <f>IF(Buckets!C10 = "Yes", "rg:True", "rg:False")</f>
        <v>rg:False</v>
      </c>
      <c r="E10" t="str">
        <f>Buckets!D10</f>
        <v>open</v>
      </c>
      <c r="F10">
        <f>Buckets!E10</f>
        <v>75</v>
      </c>
      <c r="G10" t="str">
        <f>IF(ISBLANK(Buckets!F10),"rg:[]","rg:dataset('reqset.csv', '"&amp;Buckets!F10&amp;"')")</f>
        <v>rg:[]</v>
      </c>
      <c r="H10" t="str">
        <f>IF(ISBLANK(Buckets!G10),"rg:[]","rg:dataset('reqset.csv', '"&amp;Buckets!G10&amp;"')")</f>
        <v>rg:[]</v>
      </c>
    </row>
    <row r="11" spans="1:8" x14ac:dyDescent="0.35">
      <c r="A11" t="str">
        <f>IF(ISBLANK(Buckets!A11),"-",Buckets!A11)</f>
        <v>-</v>
      </c>
      <c r="B11" t="str">
        <f t="shared" si="0"/>
        <v>0</v>
      </c>
      <c r="C11">
        <f>Buckets!B11</f>
        <v>0</v>
      </c>
      <c r="D11" t="str">
        <f>IF(Buckets!C11 = "Yes", "rg:True", "rg:False")</f>
        <v>rg:False</v>
      </c>
      <c r="E11">
        <f>Buckets!D11</f>
        <v>0</v>
      </c>
      <c r="F11">
        <f>Buckets!E11</f>
        <v>0</v>
      </c>
      <c r="G11" t="str">
        <f>IF(ISBLANK(Buckets!F11),"rg:[]","rg:dataset('reqset.csv', '"&amp;Buckets!F11&amp;"')")</f>
        <v>rg:[]</v>
      </c>
      <c r="H11" t="str">
        <f>IF(ISBLANK(Buckets!G11),"rg:[]","rg:dataset('reqset.csv', '"&amp;Buckets!G11&amp;"')")</f>
        <v>rg:[]</v>
      </c>
    </row>
    <row r="12" spans="1:8" x14ac:dyDescent="0.35">
      <c r="A12" t="str">
        <f>IF(ISBLANK(Buckets!A12),"-",Buckets!A12)</f>
        <v>-</v>
      </c>
      <c r="B12" t="str">
        <f t="shared" si="0"/>
        <v>0</v>
      </c>
      <c r="C12">
        <f>Buckets!B12</f>
        <v>0</v>
      </c>
      <c r="D12" t="str">
        <f>IF(Buckets!C12 = "Yes", "rg:True", "rg:False")</f>
        <v>rg:False</v>
      </c>
      <c r="E12">
        <f>Buckets!D12</f>
        <v>0</v>
      </c>
      <c r="F12">
        <f>Buckets!E12</f>
        <v>0</v>
      </c>
      <c r="G12" t="str">
        <f>IF(ISBLANK(Buckets!F12),"rg:[]","rg:dataset('reqset.csv', '"&amp;Buckets!F12&amp;"')")</f>
        <v>rg:[]</v>
      </c>
      <c r="H12" t="str">
        <f>IF(ISBLANK(Buckets!G12),"rg:[]","rg:dataset('reqset.csv', '"&amp;Buckets!G12&amp;"')")</f>
        <v>rg:[]</v>
      </c>
    </row>
    <row r="13" spans="1:8" x14ac:dyDescent="0.35">
      <c r="A13" t="str">
        <f>IF(ISBLANK(Buckets!A13),"-",Buckets!A13)</f>
        <v>-</v>
      </c>
      <c r="B13" t="str">
        <f t="shared" si="0"/>
        <v>0</v>
      </c>
      <c r="C13">
        <f>Buckets!B13</f>
        <v>0</v>
      </c>
      <c r="D13" t="str">
        <f>IF(Buckets!C13 = "Yes", "rg:True", "rg:False")</f>
        <v>rg:False</v>
      </c>
      <c r="E13">
        <f>Buckets!D13</f>
        <v>0</v>
      </c>
      <c r="F13">
        <f>Buckets!E13</f>
        <v>0</v>
      </c>
      <c r="G13" t="str">
        <f>IF(ISBLANK(Buckets!F13),"rg:[]","rg:dataset('reqset.csv', '"&amp;Buckets!F13&amp;"')")</f>
        <v>rg:[]</v>
      </c>
      <c r="H13" t="str">
        <f>IF(ISBLANK(Buckets!G13),"rg:[]","rg:dataset('reqset.csv', '"&amp;Buckets!G13&amp;"')")</f>
        <v>rg:[]</v>
      </c>
    </row>
    <row r="14" spans="1:8" x14ac:dyDescent="0.35">
      <c r="A14" t="str">
        <f>IF(ISBLANK(Buckets!A14),"-",Buckets!A14)</f>
        <v>-</v>
      </c>
      <c r="B14" t="str">
        <f t="shared" si="0"/>
        <v>0</v>
      </c>
      <c r="C14">
        <f>Buckets!B14</f>
        <v>0</v>
      </c>
      <c r="D14" t="str">
        <f>IF(Buckets!C14 = "Yes", "rg:True", "rg:False")</f>
        <v>rg:False</v>
      </c>
      <c r="E14">
        <f>Buckets!D14</f>
        <v>0</v>
      </c>
      <c r="F14">
        <f>Buckets!E14</f>
        <v>0</v>
      </c>
      <c r="G14" t="str">
        <f>IF(ISBLANK(Buckets!F14),"rg:[]","rg:dataset('reqset.csv', '"&amp;Buckets!F14&amp;"')")</f>
        <v>rg:[]</v>
      </c>
      <c r="H14" t="str">
        <f>IF(ISBLANK(Buckets!G14),"rg:[]","rg:dataset('reqset.csv', '"&amp;Buckets!G14&amp;"')")</f>
        <v>rg:[]</v>
      </c>
    </row>
    <row r="15" spans="1:8" x14ac:dyDescent="0.35">
      <c r="A15" t="str">
        <f>IF(ISBLANK(Buckets!A15),"-",Buckets!A15)</f>
        <v>-</v>
      </c>
      <c r="B15" t="str">
        <f t="shared" si="0"/>
        <v>0</v>
      </c>
      <c r="C15">
        <f>Buckets!B15</f>
        <v>0</v>
      </c>
      <c r="D15" t="str">
        <f>IF(Buckets!C15 = "Yes", "rg:True", "rg:False")</f>
        <v>rg:False</v>
      </c>
      <c r="E15">
        <f>Buckets!D15</f>
        <v>0</v>
      </c>
      <c r="F15">
        <f>Buckets!E15</f>
        <v>0</v>
      </c>
      <c r="G15" t="str">
        <f>IF(ISBLANK(Buckets!F15),"rg:[]","rg:dataset('reqset.csv', '"&amp;Buckets!F15&amp;"')")</f>
        <v>rg:[]</v>
      </c>
      <c r="H15" t="str">
        <f>IF(ISBLANK(Buckets!G15),"rg:[]","rg:dataset('reqset.csv', '"&amp;Buckets!G15&amp;"')")</f>
        <v>rg:[]</v>
      </c>
    </row>
    <row r="16" spans="1:8" x14ac:dyDescent="0.35">
      <c r="A16" t="str">
        <f>IF(ISBLANK(Buckets!A16),"-",Buckets!A16)</f>
        <v>-</v>
      </c>
      <c r="B16" t="str">
        <f t="shared" si="0"/>
        <v>0</v>
      </c>
      <c r="C16">
        <f>Buckets!B16</f>
        <v>0</v>
      </c>
      <c r="D16" t="str">
        <f>IF(Buckets!C16 = "Yes", "rg:True", "rg:False")</f>
        <v>rg:False</v>
      </c>
      <c r="E16">
        <f>Buckets!D16</f>
        <v>0</v>
      </c>
      <c r="F16">
        <f>Buckets!E16</f>
        <v>0</v>
      </c>
      <c r="G16" t="str">
        <f>IF(ISBLANK(Buckets!F16),"rg:[]","rg:dataset('reqset.csv', '"&amp;Buckets!F16&amp;"')")</f>
        <v>rg:[]</v>
      </c>
      <c r="H16" t="str">
        <f>IF(ISBLANK(Buckets!G16),"rg:[]","rg:dataset('reqset.csv', '"&amp;Buckets!G16&amp;"')")</f>
        <v>rg:[]</v>
      </c>
    </row>
    <row r="17" spans="1:8" x14ac:dyDescent="0.35">
      <c r="A17" t="str">
        <f>IF(ISBLANK(Buckets!A17),"-",Buckets!A17)</f>
        <v>-</v>
      </c>
      <c r="B17" t="str">
        <f t="shared" si="0"/>
        <v>0</v>
      </c>
      <c r="C17">
        <f>Buckets!B17</f>
        <v>0</v>
      </c>
      <c r="D17" t="str">
        <f>IF(Buckets!C17 = "Yes", "rg:True", "rg:False")</f>
        <v>rg:False</v>
      </c>
      <c r="E17">
        <f>Buckets!D17</f>
        <v>0</v>
      </c>
      <c r="F17">
        <f>Buckets!E17</f>
        <v>0</v>
      </c>
      <c r="G17" t="str">
        <f>IF(ISBLANK(Buckets!F17),"rg:[]","rg:dataset('reqset.csv', '"&amp;Buckets!F17&amp;"')")</f>
        <v>rg:[]</v>
      </c>
      <c r="H17" t="str">
        <f>IF(ISBLANK(Buckets!G17),"rg:[]","rg:dataset('reqset.csv', '"&amp;Buckets!G17&amp;"')")</f>
        <v>rg:[]</v>
      </c>
    </row>
    <row r="18" spans="1:8" x14ac:dyDescent="0.35">
      <c r="A18" t="str">
        <f>IF(ISBLANK(Buckets!A18),"-",Buckets!A18)</f>
        <v>-</v>
      </c>
      <c r="B18" t="str">
        <f t="shared" si="0"/>
        <v>0</v>
      </c>
      <c r="C18">
        <f>Buckets!B18</f>
        <v>0</v>
      </c>
      <c r="D18" t="str">
        <f>IF(Buckets!C18 = "Yes", "rg:True", "rg:False")</f>
        <v>rg:False</v>
      </c>
      <c r="E18">
        <f>Buckets!D18</f>
        <v>0</v>
      </c>
      <c r="F18">
        <f>Buckets!E18</f>
        <v>0</v>
      </c>
      <c r="G18" t="str">
        <f>IF(ISBLANK(Buckets!F18),"rg:[]","rg:dataset('reqset.csv', '"&amp;Buckets!F18&amp;"')")</f>
        <v>rg:[]</v>
      </c>
      <c r="H18" t="str">
        <f>IF(ISBLANK(Buckets!G18),"rg:[]","rg:dataset('reqset.csv', '"&amp;Buckets!G18&amp;"')")</f>
        <v>rg:[]</v>
      </c>
    </row>
    <row r="19" spans="1:8" x14ac:dyDescent="0.35">
      <c r="A19" t="str">
        <f>IF(ISBLANK(Buckets!A19),"-",Buckets!A19)</f>
        <v>-</v>
      </c>
      <c r="B19" t="str">
        <f t="shared" si="0"/>
        <v>0</v>
      </c>
      <c r="C19">
        <f>Buckets!B19</f>
        <v>0</v>
      </c>
      <c r="D19" t="str">
        <f>IF(Buckets!C19 = "Yes", "rg:True", "rg:False")</f>
        <v>rg:False</v>
      </c>
      <c r="E19">
        <f>Buckets!D19</f>
        <v>0</v>
      </c>
      <c r="F19">
        <f>Buckets!E19</f>
        <v>0</v>
      </c>
      <c r="G19" t="str">
        <f>IF(ISBLANK(Buckets!F19),"rg:[]","rg:dataset('reqset.csv', '"&amp;Buckets!F19&amp;"')")</f>
        <v>rg:[]</v>
      </c>
      <c r="H19" t="str">
        <f>IF(ISBLANK(Buckets!G19),"rg:[]","rg:dataset('reqset.csv', '"&amp;Buckets!G19&amp;"')")</f>
        <v>rg:[]</v>
      </c>
    </row>
    <row r="20" spans="1:8" x14ac:dyDescent="0.35">
      <c r="A20" t="str">
        <f>IF(ISBLANK(Buckets!A20),"-",Buckets!A20)</f>
        <v>-</v>
      </c>
      <c r="B20" t="str">
        <f t="shared" si="0"/>
        <v>0</v>
      </c>
      <c r="C20">
        <f>Buckets!B20</f>
        <v>0</v>
      </c>
      <c r="D20" t="str">
        <f>IF(Buckets!C20 = "Yes", "rg:True", "rg:False")</f>
        <v>rg:False</v>
      </c>
      <c r="E20">
        <f>Buckets!D20</f>
        <v>0</v>
      </c>
      <c r="F20">
        <f>Buckets!E20</f>
        <v>0</v>
      </c>
      <c r="G20" t="str">
        <f>IF(ISBLANK(Buckets!F20),"rg:[]","rg:dataset('reqset.csv', '"&amp;Buckets!F20&amp;"')")</f>
        <v>rg:[]</v>
      </c>
      <c r="H20" t="str">
        <f>IF(ISBLANK(Buckets!G20),"rg:[]","rg:dataset('reqset.csv', '"&amp;Buckets!G20&amp;"')")</f>
        <v>rg:[]</v>
      </c>
    </row>
    <row r="21" spans="1:8" x14ac:dyDescent="0.35">
      <c r="A21" t="str">
        <f>IF(ISBLANK(Buckets!A21),"-",Buckets!A21)</f>
        <v>-</v>
      </c>
      <c r="B21" t="str">
        <f t="shared" si="0"/>
        <v>0</v>
      </c>
      <c r="C21">
        <f>Buckets!B21</f>
        <v>0</v>
      </c>
      <c r="D21" t="str">
        <f>IF(Buckets!C21 = "Yes", "rg:True", "rg:False")</f>
        <v>rg:False</v>
      </c>
      <c r="E21">
        <f>Buckets!D21</f>
        <v>0</v>
      </c>
      <c r="F21">
        <f>Buckets!E21</f>
        <v>0</v>
      </c>
      <c r="G21" t="str">
        <f>IF(ISBLANK(Buckets!F21),"rg:[]","rg:dataset('reqset.csv', '"&amp;Buckets!F21&amp;"')")</f>
        <v>rg:[]</v>
      </c>
      <c r="H21" t="str">
        <f>IF(ISBLANK(Buckets!G21),"rg:[]","rg:dataset('reqset.csv', '"&amp;Buckets!G21&amp;"')")</f>
        <v>rg:[]</v>
      </c>
    </row>
    <row r="22" spans="1:8" x14ac:dyDescent="0.35">
      <c r="A22" t="str">
        <f>IF(ISBLANK(Buckets!A22),"-",Buckets!A22)</f>
        <v>-</v>
      </c>
      <c r="B22" t="str">
        <f t="shared" si="0"/>
        <v>0</v>
      </c>
      <c r="C22">
        <f>Buckets!B22</f>
        <v>0</v>
      </c>
      <c r="D22" t="str">
        <f>IF(Buckets!C22 = "Yes", "rg:True", "rg:False")</f>
        <v>rg:False</v>
      </c>
      <c r="E22">
        <f>Buckets!D22</f>
        <v>0</v>
      </c>
      <c r="F22">
        <f>Buckets!E22</f>
        <v>0</v>
      </c>
      <c r="G22" t="str">
        <f>IF(ISBLANK(Buckets!F22),"rg:[]","rg:dataset('reqset.csv', '"&amp;Buckets!F22&amp;"')")</f>
        <v>rg:[]</v>
      </c>
      <c r="H22" t="str">
        <f>IF(ISBLANK(Buckets!G22),"rg:[]","rg:dataset('reqset.csv', '"&amp;Buckets!G22&amp;"')")</f>
        <v>rg:[]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4"/>
  <sheetViews>
    <sheetView workbookViewId="0">
      <selection activeCell="B2" sqref="B2"/>
    </sheetView>
  </sheetViews>
  <sheetFormatPr defaultRowHeight="15.5" x14ac:dyDescent="0.35"/>
  <cols>
    <col min="2" max="2" width="15.91406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70</v>
      </c>
      <c r="E1" t="s">
        <v>71</v>
      </c>
      <c r="F1" t="s">
        <v>72</v>
      </c>
    </row>
    <row r="2" spans="1:6" x14ac:dyDescent="0.35">
      <c r="A2" t="str">
        <f>IF(ISBLANK(Deliverables!A2),"-",Deliverables!A2)</f>
        <v>knob</v>
      </c>
      <c r="B2" t="str">
        <f>LOWER(SUBSTITUTE(C2," ",""))</f>
        <v>projectdescription</v>
      </c>
      <c r="C2" t="str">
        <f>Deliverables!B2</f>
        <v>Project Description</v>
      </c>
      <c r="D2" t="str">
        <f>Deliverables!C2</f>
        <v>The official Project Description for the Knob Hill Wind Project</v>
      </c>
      <c r="E2" t="str">
        <f>Deliverables!D2</f>
        <v>document</v>
      </c>
      <c r="F2" t="str">
        <f>IF(ISBLANK(Deliverables!E2),"rg:[]","rg:dataset('bucketsset.csv', "&amp;Deliverables!E2&amp;"')")</f>
        <v>rg:[]</v>
      </c>
    </row>
    <row r="3" spans="1:6" x14ac:dyDescent="0.35">
      <c r="A3" t="str">
        <f>IF(ISBLANK(Deliverables!A3),"-",Deliverables!A3)</f>
        <v>knob</v>
      </c>
      <c r="B3" t="str">
        <f t="shared" ref="B3:B24" si="0">LOWER(SUBSTITUTE(C3," ",""))</f>
        <v>locationoutline</v>
      </c>
      <c r="C3" t="str">
        <f>Deliverables!B3</f>
        <v>Location Outline</v>
      </c>
      <c r="D3" t="str">
        <f>Deliverables!C3</f>
        <v>Location Outline</v>
      </c>
      <c r="E3" t="str">
        <f>Deliverables!D3</f>
        <v>shapefile</v>
      </c>
      <c r="F3" t="str">
        <f>IF(ISBLANK(Deliverables!E3),"rg:[]","rg:dataset('bucketsset.csv', "&amp;Deliverables!E3&amp;"')")</f>
        <v>rg:[]</v>
      </c>
    </row>
    <row r="4" spans="1:6" x14ac:dyDescent="0.35">
      <c r="A4" t="str">
        <f>IF(ISBLANK(Deliverables!A4),"-",Deliverables!A4)</f>
        <v>knob</v>
      </c>
      <c r="B4" t="str">
        <f t="shared" si="0"/>
        <v>section10.1c</v>
      </c>
      <c r="C4" t="str">
        <f>Deliverables!B4</f>
        <v>Section 10.1c</v>
      </c>
      <c r="D4" t="str">
        <f>Deliverables!C4</f>
        <v>Section 10.1c</v>
      </c>
      <c r="E4" t="str">
        <f>Deliverables!D4</f>
        <v>document</v>
      </c>
      <c r="F4" t="str">
        <f>IF(ISBLANK(Deliverables!E4),"rg:[]","rg:dataset('bucketsset.csv', "&amp;Deliverables!E4&amp;"')")</f>
        <v>rg:[]</v>
      </c>
    </row>
    <row r="5" spans="1:6" x14ac:dyDescent="0.35">
      <c r="A5" t="str">
        <f>IF(ISBLANK(Deliverables!A5),"-",Deliverables!A5)</f>
        <v>knob</v>
      </c>
      <c r="B5" t="str">
        <f t="shared" si="0"/>
        <v>section11</v>
      </c>
      <c r="C5" t="str">
        <f>Deliverables!B5</f>
        <v>Section 11</v>
      </c>
      <c r="D5" t="str">
        <f>Deliverables!C5</f>
        <v>Section 11</v>
      </c>
      <c r="E5" t="str">
        <f>Deliverables!D5</f>
        <v>document</v>
      </c>
      <c r="F5" t="str">
        <f>IF(ISBLANK(Deliverables!E5),"rg:[]","rg:dataset('bucketsset.csv', "&amp;Deliverables!E5&amp;"')")</f>
        <v>rg:[]</v>
      </c>
    </row>
    <row r="6" spans="1:6" x14ac:dyDescent="0.35">
      <c r="A6" t="str">
        <f>IF(ISBLANK(Deliverables!A6),"-",Deliverables!A6)</f>
        <v>knob</v>
      </c>
      <c r="B6" t="str">
        <f t="shared" si="0"/>
        <v>drafta.i.r.</v>
      </c>
      <c r="C6" t="str">
        <f>Deliverables!B6</f>
        <v>Draft A.I.R.</v>
      </c>
      <c r="D6" t="str">
        <f>Deliverables!C6</f>
        <v>Draft A.I.R.</v>
      </c>
      <c r="E6" t="str">
        <f>Deliverables!D6</f>
        <v>document</v>
      </c>
      <c r="F6" t="str">
        <f>IF(ISBLANK(Deliverables!E6),"rg:[]","rg:dataset('bucketsset.csv', "&amp;Deliverables!E6&amp;"')")</f>
        <v>rg:[]</v>
      </c>
    </row>
    <row r="7" spans="1:6" x14ac:dyDescent="0.35">
      <c r="A7" t="str">
        <f>IF(ISBLANK(Deliverables!A7),"-",Deliverables!A7)</f>
        <v>knob</v>
      </c>
      <c r="B7" t="str">
        <f t="shared" si="0"/>
        <v>a.i.r.</v>
      </c>
      <c r="C7" t="str">
        <f>Deliverables!B7</f>
        <v>A.I.R.</v>
      </c>
      <c r="D7" t="str">
        <f>Deliverables!C7</f>
        <v>A.I.R.</v>
      </c>
      <c r="E7" t="str">
        <f>Deliverables!D7</f>
        <v>document</v>
      </c>
      <c r="F7" t="str">
        <f>IF(ISBLANK(Deliverables!E7),"rg:[]","rg:dataset('bucketsset.csv', "&amp;Deliverables!E7&amp;"')")</f>
        <v>rg:[]</v>
      </c>
    </row>
    <row r="8" spans="1:6" x14ac:dyDescent="0.35">
      <c r="A8" t="str">
        <f>IF(ISBLANK(Deliverables!A8),"-",Deliverables!A8)</f>
        <v>knob</v>
      </c>
      <c r="B8" t="str">
        <f t="shared" si="0"/>
        <v>application</v>
      </c>
      <c r="C8" t="str">
        <f>Deliverables!B8</f>
        <v>Application</v>
      </c>
      <c r="D8" t="str">
        <f>Deliverables!C8</f>
        <v>Application</v>
      </c>
      <c r="E8" t="str">
        <f>Deliverables!D8</f>
        <v>document</v>
      </c>
      <c r="F8" t="str">
        <f>IF(ISBLANK(Deliverables!E8),"rg:[]","rg:dataset('bucketsset.csv', "&amp;Deliverables!E8&amp;"')")</f>
        <v>rg:[]</v>
      </c>
    </row>
    <row r="9" spans="1:6" x14ac:dyDescent="0.35">
      <c r="A9" t="str">
        <f>IF(ISBLANK(Deliverables!A9),"-",Deliverables!A9)</f>
        <v>-</v>
      </c>
      <c r="B9" t="str">
        <f t="shared" si="0"/>
        <v>0</v>
      </c>
      <c r="C9">
        <f>Deliverables!B9</f>
        <v>0</v>
      </c>
      <c r="D9">
        <f>Deliverables!C9</f>
        <v>0</v>
      </c>
      <c r="E9">
        <f>Deliverables!D9</f>
        <v>0</v>
      </c>
      <c r="F9" t="str">
        <f>IF(ISBLANK(Deliverables!E9),"rg:[]","rg:dataset('bucketsset.csv', "&amp;Deliverables!E9&amp;"')")</f>
        <v>rg:[]</v>
      </c>
    </row>
    <row r="10" spans="1:6" x14ac:dyDescent="0.35">
      <c r="A10" t="str">
        <f>IF(ISBLANK(Deliverables!A10),"-",Deliverables!A10)</f>
        <v>-</v>
      </c>
      <c r="B10" t="str">
        <f t="shared" si="0"/>
        <v>0</v>
      </c>
      <c r="C10">
        <f>Deliverables!B10</f>
        <v>0</v>
      </c>
      <c r="D10">
        <f>Deliverables!C10</f>
        <v>0</v>
      </c>
      <c r="E10">
        <f>Deliverables!D10</f>
        <v>0</v>
      </c>
      <c r="F10" t="str">
        <f>IF(ISBLANK(Deliverables!E10),"rg:[]","rg:dataset('bucketsset.csv', "&amp;Deliverables!E10&amp;"')")</f>
        <v>rg:[]</v>
      </c>
    </row>
    <row r="11" spans="1:6" x14ac:dyDescent="0.35">
      <c r="A11" t="str">
        <f>IF(ISBLANK(Deliverables!A11),"-",Deliverables!A11)</f>
        <v>-</v>
      </c>
      <c r="B11" t="str">
        <f t="shared" si="0"/>
        <v>0</v>
      </c>
      <c r="C11">
        <f>Deliverables!B11</f>
        <v>0</v>
      </c>
      <c r="D11">
        <f>Deliverables!C11</f>
        <v>0</v>
      </c>
      <c r="E11">
        <f>Deliverables!D11</f>
        <v>0</v>
      </c>
      <c r="F11" t="str">
        <f>IF(ISBLANK(Deliverables!E11),"rg:[]","rg:dataset('bucketsset.csv', "&amp;Deliverables!E11&amp;"')")</f>
        <v>rg:[]</v>
      </c>
    </row>
    <row r="12" spans="1:6" x14ac:dyDescent="0.35">
      <c r="A12" t="str">
        <f>IF(ISBLANK(Deliverables!A12),"-",Deliverables!A12)</f>
        <v>-</v>
      </c>
      <c r="B12" t="str">
        <f t="shared" si="0"/>
        <v>0</v>
      </c>
      <c r="C12">
        <f>Deliverables!B12</f>
        <v>0</v>
      </c>
      <c r="D12">
        <f>Deliverables!C12</f>
        <v>0</v>
      </c>
      <c r="E12">
        <f>Deliverables!D12</f>
        <v>0</v>
      </c>
      <c r="F12" t="str">
        <f>IF(ISBLANK(Deliverables!E12),"rg:[]","rg:dataset('bucketsset.csv', "&amp;Deliverables!E12&amp;"')")</f>
        <v>rg:[]</v>
      </c>
    </row>
    <row r="13" spans="1:6" x14ac:dyDescent="0.35">
      <c r="A13" t="str">
        <f>IF(ISBLANK(Deliverables!A13),"-",Deliverables!A13)</f>
        <v>-</v>
      </c>
      <c r="B13" t="str">
        <f t="shared" si="0"/>
        <v>0</v>
      </c>
      <c r="C13">
        <f>Deliverables!B13</f>
        <v>0</v>
      </c>
      <c r="D13">
        <f>Deliverables!C13</f>
        <v>0</v>
      </c>
      <c r="E13">
        <f>Deliverables!D13</f>
        <v>0</v>
      </c>
      <c r="F13" t="str">
        <f>IF(ISBLANK(Deliverables!E13),"rg:[]","rg:dataset('bucketsset.csv', "&amp;Deliverables!E13&amp;"')")</f>
        <v>rg:[]</v>
      </c>
    </row>
    <row r="14" spans="1:6" x14ac:dyDescent="0.35">
      <c r="A14" t="str">
        <f>IF(ISBLANK(Deliverables!A14),"-",Deliverables!A14)</f>
        <v>-</v>
      </c>
      <c r="B14" t="str">
        <f t="shared" si="0"/>
        <v>0</v>
      </c>
      <c r="C14">
        <f>Deliverables!B14</f>
        <v>0</v>
      </c>
      <c r="D14">
        <f>Deliverables!C14</f>
        <v>0</v>
      </c>
      <c r="E14">
        <f>Deliverables!D14</f>
        <v>0</v>
      </c>
      <c r="F14" t="str">
        <f>IF(ISBLANK(Deliverables!E14),"rg:[]","rg:dataset('bucketsset.csv', "&amp;Deliverables!E14&amp;"')")</f>
        <v>rg:[]</v>
      </c>
    </row>
    <row r="15" spans="1:6" x14ac:dyDescent="0.35">
      <c r="A15" t="str">
        <f>IF(ISBLANK(Deliverables!A15),"-",Deliverables!A15)</f>
        <v>-</v>
      </c>
      <c r="B15" t="str">
        <f t="shared" si="0"/>
        <v>0</v>
      </c>
      <c r="C15">
        <f>Deliverables!B15</f>
        <v>0</v>
      </c>
      <c r="D15">
        <f>Deliverables!C15</f>
        <v>0</v>
      </c>
      <c r="E15">
        <f>Deliverables!D15</f>
        <v>0</v>
      </c>
      <c r="F15" t="str">
        <f>IF(ISBLANK(Deliverables!E15),"rg:[]","rg:dataset('bucketsset.csv', "&amp;Deliverables!E15&amp;"')")</f>
        <v>rg:[]</v>
      </c>
    </row>
    <row r="16" spans="1:6" x14ac:dyDescent="0.35">
      <c r="A16" t="str">
        <f>IF(ISBLANK(Deliverables!A16),"-",Deliverables!A16)</f>
        <v>-</v>
      </c>
      <c r="B16" t="str">
        <f t="shared" si="0"/>
        <v>0</v>
      </c>
      <c r="C16">
        <f>Deliverables!B16</f>
        <v>0</v>
      </c>
      <c r="D16">
        <f>Deliverables!C16</f>
        <v>0</v>
      </c>
      <c r="E16">
        <f>Deliverables!D16</f>
        <v>0</v>
      </c>
      <c r="F16" t="str">
        <f>IF(ISBLANK(Deliverables!E16),"rg:[]","rg:dataset('bucketsset.csv', "&amp;Deliverables!E16&amp;"')")</f>
        <v>rg:[]</v>
      </c>
    </row>
    <row r="17" spans="1:6" x14ac:dyDescent="0.35">
      <c r="A17" t="str">
        <f>IF(ISBLANK(Deliverables!A17),"-",Deliverables!A17)</f>
        <v>-</v>
      </c>
      <c r="B17" t="str">
        <f t="shared" si="0"/>
        <v>0</v>
      </c>
      <c r="C17">
        <f>Deliverables!B17</f>
        <v>0</v>
      </c>
      <c r="D17">
        <f>Deliverables!C17</f>
        <v>0</v>
      </c>
      <c r="E17">
        <f>Deliverables!D17</f>
        <v>0</v>
      </c>
      <c r="F17" t="str">
        <f>IF(ISBLANK(Deliverables!E17),"rg:[]","rg:dataset('bucketsset.csv', "&amp;Deliverables!E17&amp;"')")</f>
        <v>rg:[]</v>
      </c>
    </row>
    <row r="18" spans="1:6" x14ac:dyDescent="0.35">
      <c r="A18" t="str">
        <f>IF(ISBLANK(Deliverables!A18),"-",Deliverables!A18)</f>
        <v>-</v>
      </c>
      <c r="B18" t="str">
        <f t="shared" si="0"/>
        <v>0</v>
      </c>
      <c r="C18">
        <f>Deliverables!B18</f>
        <v>0</v>
      </c>
      <c r="D18">
        <f>Deliverables!C18</f>
        <v>0</v>
      </c>
      <c r="E18">
        <f>Deliverables!D18</f>
        <v>0</v>
      </c>
      <c r="F18" t="str">
        <f>IF(ISBLANK(Deliverables!E18),"rg:[]","rg:dataset('bucketsset.csv', "&amp;Deliverables!E18&amp;"')")</f>
        <v>rg:[]</v>
      </c>
    </row>
    <row r="19" spans="1:6" x14ac:dyDescent="0.35">
      <c r="A19" t="str">
        <f>IF(ISBLANK(Deliverables!A19),"-",Deliverables!A19)</f>
        <v>-</v>
      </c>
      <c r="B19" t="str">
        <f t="shared" si="0"/>
        <v>0</v>
      </c>
      <c r="C19">
        <f>Deliverables!B19</f>
        <v>0</v>
      </c>
      <c r="D19">
        <f>Deliverables!C19</f>
        <v>0</v>
      </c>
      <c r="E19">
        <f>Deliverables!D19</f>
        <v>0</v>
      </c>
      <c r="F19" t="str">
        <f>IF(ISBLANK(Deliverables!E19),"rg:[]","rg:dataset('bucketsset.csv', "&amp;Deliverables!E19&amp;"')")</f>
        <v>rg:[]</v>
      </c>
    </row>
    <row r="20" spans="1:6" x14ac:dyDescent="0.35">
      <c r="A20" t="str">
        <f>IF(ISBLANK(Deliverables!A20),"-",Deliverables!A20)</f>
        <v>-</v>
      </c>
      <c r="B20" t="str">
        <f t="shared" si="0"/>
        <v>0</v>
      </c>
      <c r="C20">
        <f>Deliverables!B20</f>
        <v>0</v>
      </c>
      <c r="D20">
        <f>Deliverables!C20</f>
        <v>0</v>
      </c>
      <c r="E20">
        <f>Deliverables!D20</f>
        <v>0</v>
      </c>
      <c r="F20" t="str">
        <f>IF(ISBLANK(Deliverables!E20),"rg:[]","rg:dataset('bucketsset.csv', "&amp;Deliverables!E20&amp;"')")</f>
        <v>rg:[]</v>
      </c>
    </row>
    <row r="21" spans="1:6" x14ac:dyDescent="0.35">
      <c r="A21" t="str">
        <f>IF(ISBLANK(Deliverables!A21),"-",Deliverables!A21)</f>
        <v>-</v>
      </c>
      <c r="B21" t="str">
        <f t="shared" si="0"/>
        <v>0</v>
      </c>
      <c r="C21">
        <f>Deliverables!B21</f>
        <v>0</v>
      </c>
      <c r="D21">
        <f>Deliverables!C21</f>
        <v>0</v>
      </c>
      <c r="E21">
        <f>Deliverables!D21</f>
        <v>0</v>
      </c>
      <c r="F21" t="str">
        <f>IF(ISBLANK(Deliverables!E21),"rg:[]","rg:dataset('bucketsset.csv', "&amp;Deliverables!E21&amp;"')")</f>
        <v>rg:[]</v>
      </c>
    </row>
    <row r="22" spans="1:6" x14ac:dyDescent="0.35">
      <c r="A22" t="str">
        <f>IF(ISBLANK(Deliverables!A22),"-",Deliverables!A22)</f>
        <v>-</v>
      </c>
      <c r="B22" t="str">
        <f t="shared" si="0"/>
        <v>0</v>
      </c>
      <c r="C22">
        <f>Deliverables!B22</f>
        <v>0</v>
      </c>
      <c r="D22">
        <f>Deliverables!C22</f>
        <v>0</v>
      </c>
      <c r="E22">
        <f>Deliverables!D22</f>
        <v>0</v>
      </c>
      <c r="F22" t="str">
        <f>IF(ISBLANK(Deliverables!E22),"rg:[]","rg:dataset('bucketsset.csv', "&amp;Deliverables!E22&amp;"')")</f>
        <v>rg:[]</v>
      </c>
    </row>
    <row r="23" spans="1:6" x14ac:dyDescent="0.35">
      <c r="A23" t="str">
        <f>IF(ISBLANK(Deliverables!A23),"-",Deliverables!A23)</f>
        <v>-</v>
      </c>
      <c r="B23" t="str">
        <f t="shared" si="0"/>
        <v>0</v>
      </c>
      <c r="C23">
        <f>Deliverables!B23</f>
        <v>0</v>
      </c>
      <c r="D23">
        <f>Deliverables!C23</f>
        <v>0</v>
      </c>
      <c r="E23">
        <f>Deliverables!D23</f>
        <v>0</v>
      </c>
      <c r="F23" t="str">
        <f>IF(ISBLANK(Deliverables!E23),"rg:[]","rg:dataset('bucketsset.csv', "&amp;Deliverables!E23&amp;"')")</f>
        <v>rg:[]</v>
      </c>
    </row>
    <row r="24" spans="1:6" x14ac:dyDescent="0.35">
      <c r="A24" t="str">
        <f>IF(ISBLANK(Deliverables!A24),"-",Deliverables!A24)</f>
        <v>-</v>
      </c>
      <c r="B24" t="str">
        <f t="shared" si="0"/>
        <v>0</v>
      </c>
      <c r="C24">
        <f>Deliverables!B24</f>
        <v>0</v>
      </c>
      <c r="D24">
        <f>Deliverables!C24</f>
        <v>0</v>
      </c>
      <c r="E24">
        <f>Deliverables!D24</f>
        <v>0</v>
      </c>
      <c r="F24" t="str">
        <f>IF(ISBLANK(Deliverables!E24),"rg:[]","rg:dataset('bucketsset.csv', "&amp;Deliverables!E24&amp;"')")</f>
        <v>rg:[]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6"/>
  <sheetViews>
    <sheetView workbookViewId="0">
      <selection activeCell="B7" sqref="B7"/>
    </sheetView>
  </sheetViews>
  <sheetFormatPr defaultColWidth="10.6640625" defaultRowHeight="15.5" x14ac:dyDescent="0.35"/>
  <sheetData>
    <row r="1" spans="1:13" x14ac:dyDescent="0.35">
      <c r="A1" t="s">
        <v>0</v>
      </c>
      <c r="B1" t="s">
        <v>1</v>
      </c>
      <c r="C1" t="s">
        <v>2</v>
      </c>
      <c r="D1" t="s">
        <v>12</v>
      </c>
      <c r="E1" t="s">
        <v>13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</row>
    <row r="2" spans="1:13" x14ac:dyDescent="0.35">
      <c r="A2" t="str">
        <f>IF(ISBLANK(Team!A2),"-",Team!A2)</f>
        <v>knob</v>
      </c>
      <c r="B2" t="str">
        <f>F2</f>
        <v>CaryXSechrist@jourrapide.com</v>
      </c>
      <c r="C2" t="str">
        <f>Team!B2</f>
        <v>Cary Sechrist</v>
      </c>
      <c r="D2" t="str">
        <f>"rg:[ { 'role' : '"&amp;Team!C2&amp;"' } ]"</f>
        <v>rg:[ { 'role' : 'proponent' } ]</v>
      </c>
      <c r="E2" t="str">
        <f>"rg:[ { 'role' : '"&amp;Team!D2&amp;"' } ]"</f>
        <v>rg:[ { 'role' : 'proponent' } ]</v>
      </c>
      <c r="F2" t="str">
        <f>Team!E2</f>
        <v>CaryXSechrist@jourrapide.com</v>
      </c>
      <c r="G2" t="str">
        <f>Team!F2</f>
        <v>Canada</v>
      </c>
      <c r="H2" t="str">
        <f>Team!G2</f>
        <v>2262 Burdett Avenue</v>
      </c>
      <c r="I2" t="str">
        <f>Team!H2</f>
        <v>Victoria</v>
      </c>
      <c r="J2" t="str">
        <f>Team!I2</f>
        <v>BC</v>
      </c>
      <c r="K2" t="str">
        <f>Team!J2</f>
        <v>V8Z 2J8</v>
      </c>
      <c r="L2" t="str">
        <f>IF(Team!K2 = "Yes", "rg:True", "rg:False")</f>
        <v>rg:True</v>
      </c>
      <c r="M2" t="str">
        <f>IF(Team!L2 = "Yes", "rg:True", "rg:False")</f>
        <v>rg:False</v>
      </c>
    </row>
    <row r="3" spans="1:13" x14ac:dyDescent="0.35">
      <c r="A3" t="str">
        <f>IF(ISBLANK(Team!A3),"-",Team!A3)</f>
        <v>knob</v>
      </c>
      <c r="B3" t="str">
        <f t="shared" ref="B3:B16" si="0">F3</f>
        <v>RandyIConrad@dayrep.com</v>
      </c>
      <c r="C3" t="str">
        <f>Team!B3</f>
        <v>Randy Conrad</v>
      </c>
      <c r="D3" t="str">
        <f>"rg:[ { 'role' : '"&amp;Team!C3&amp;"' } ]"</f>
        <v>rg:[ { 'role' : 'proponent' } ]</v>
      </c>
      <c r="E3" t="str">
        <f>"rg:[ { 'role' : '"&amp;Team!D3&amp;"' } ]"</f>
        <v>rg:[ { 'role' : 'proponent' } ]</v>
      </c>
      <c r="F3" t="str">
        <f>Team!E3</f>
        <v>RandyIConrad@dayrep.com</v>
      </c>
      <c r="G3" t="str">
        <f>Team!F3</f>
        <v>Canada</v>
      </c>
      <c r="H3" t="str">
        <f>Team!G3</f>
        <v>223 Brew Creek Rd</v>
      </c>
      <c r="I3" t="str">
        <f>Team!H3</f>
        <v>Whistler</v>
      </c>
      <c r="J3" t="str">
        <f>Team!I3</f>
        <v>BC</v>
      </c>
      <c r="K3" t="str">
        <f>Team!J3</f>
        <v>V0N 1B0</v>
      </c>
      <c r="L3" t="str">
        <f>IF(Team!K3 = "Yes", "rg:True", "rg:False")</f>
        <v>rg:True</v>
      </c>
      <c r="M3" t="str">
        <f>IF(Team!L3 = "Yes", "rg:True", "rg:False")</f>
        <v>rg:False</v>
      </c>
    </row>
    <row r="4" spans="1:13" x14ac:dyDescent="0.35">
      <c r="A4" t="str">
        <f>IF(ISBLANK(Team!A4),"-",Team!A4)</f>
        <v>knob</v>
      </c>
      <c r="B4" t="str">
        <f t="shared" si="0"/>
        <v>LiliLNorrell@fleckens.hu</v>
      </c>
      <c r="C4" t="str">
        <f>Team!B4</f>
        <v>Lili Norrell</v>
      </c>
      <c r="D4" t="str">
        <f>"rg:[ { 'role' : '"&amp;Team!C4&amp;"' } ]"</f>
        <v>rg:[ { 'role' : 'eao' } ]</v>
      </c>
      <c r="E4" t="str">
        <f>"rg:[ { 'role' : '"&amp;Team!D4&amp;"' } ]"</f>
        <v>rg:[ { 'role' : 'eao' } ]</v>
      </c>
      <c r="F4" t="str">
        <f>Team!E4</f>
        <v>LiliLNorrell@fleckens.hu</v>
      </c>
      <c r="G4" t="str">
        <f>Team!F4</f>
        <v>Canada</v>
      </c>
      <c r="H4" t="str">
        <f>Team!G4</f>
        <v>2310 Mesa Vista Drive</v>
      </c>
      <c r="I4" t="str">
        <f>Team!H4</f>
        <v>Boston Bar</v>
      </c>
      <c r="J4" t="str">
        <f>Team!I4</f>
        <v>BC</v>
      </c>
      <c r="K4" t="str">
        <f>Team!J4</f>
        <v>V0K 1C0</v>
      </c>
      <c r="L4" t="str">
        <f>IF(Team!K4 = "Yes", "rg:True", "rg:False")</f>
        <v>rg:True</v>
      </c>
      <c r="M4" t="str">
        <f>IF(Team!L4 = "Yes", "rg:True", "rg:False")</f>
        <v>rg:False</v>
      </c>
    </row>
    <row r="5" spans="1:13" x14ac:dyDescent="0.35">
      <c r="A5" t="str">
        <f>IF(ISBLANK(Team!A5),"-",Team!A5)</f>
        <v>knob</v>
      </c>
      <c r="B5" t="str">
        <f t="shared" si="0"/>
        <v>WilliamSButler@einrot.com</v>
      </c>
      <c r="C5" t="str">
        <f>Team!B5</f>
        <v>William Butler</v>
      </c>
      <c r="D5" t="str">
        <f>"rg:[ { 'role' : '"&amp;Team!C5&amp;"' } ]"</f>
        <v>rg:[ { 'role' : 'eao' } ]</v>
      </c>
      <c r="E5" t="str">
        <f>"rg:[ { 'role' : '"&amp;Team!D5&amp;"' } ]"</f>
        <v>rg:[ { 'role' : 'eao' } ]</v>
      </c>
      <c r="F5" t="str">
        <f>Team!E5</f>
        <v>WilliamSButler@einrot.com</v>
      </c>
      <c r="G5" t="str">
        <f>Team!F5</f>
        <v>Canada</v>
      </c>
      <c r="H5" t="str">
        <f>Team!G5</f>
        <v>3795 Burdett Avenue</v>
      </c>
      <c r="I5" t="str">
        <f>Team!H5</f>
        <v>Victoria</v>
      </c>
      <c r="J5" t="str">
        <f>Team!I5</f>
        <v>BC</v>
      </c>
      <c r="K5" t="str">
        <f>Team!J5</f>
        <v>V8Y 1Y7</v>
      </c>
      <c r="L5" t="str">
        <f>IF(Team!K5 = "Yes", "rg:True", "rg:False")</f>
        <v>rg:True</v>
      </c>
      <c r="M5" t="str">
        <f>IF(Team!L5 = "Yes", "rg:True", "rg:False")</f>
        <v>rg:False</v>
      </c>
    </row>
    <row r="6" spans="1:13" x14ac:dyDescent="0.35">
      <c r="A6" t="str">
        <f>IF(ISBLANK(Team!A6),"-",Team!A6)</f>
        <v>knob</v>
      </c>
      <c r="B6" t="str">
        <f t="shared" si="0"/>
        <v>CeciliaFBrown@gustr.com</v>
      </c>
      <c r="C6" t="str">
        <f>Team!B6</f>
        <v>Cecilia Brown</v>
      </c>
      <c r="D6" t="str">
        <f>"rg:[ { 'role' : '"&amp;Team!C6&amp;"' } ]"</f>
        <v>rg:[ { 'role' : 'eao' } ]</v>
      </c>
      <c r="E6" t="str">
        <f>"rg:[ { 'role' : '"&amp;Team!D6&amp;"' } ]"</f>
        <v>rg:[ { 'role' : 'eao' } ]</v>
      </c>
      <c r="F6" t="str">
        <f>Team!E6</f>
        <v>CeciliaFBrown@gustr.com</v>
      </c>
      <c r="G6" t="str">
        <f>Team!F6</f>
        <v>Canada</v>
      </c>
      <c r="H6" t="str">
        <f>Team!G6</f>
        <v>3746 Noble Rd</v>
      </c>
      <c r="I6" t="str">
        <f>Team!H6</f>
        <v>Cortes Island</v>
      </c>
      <c r="J6" t="str">
        <f>Team!I6</f>
        <v>BC</v>
      </c>
      <c r="K6" t="str">
        <f>Team!J6</f>
        <v>V0P 1T0</v>
      </c>
      <c r="L6" t="str">
        <f>IF(Team!K6 = "Yes", "rg:True", "rg:False")</f>
        <v>rg:False</v>
      </c>
      <c r="M6" t="str">
        <f>IF(Team!L6 = "Yes", "rg:True", "rg:False")</f>
        <v>rg:True</v>
      </c>
    </row>
    <row r="7" spans="1:13" x14ac:dyDescent="0.35">
      <c r="A7" t="str">
        <f>IF(ISBLANK(Team!A7),"-",Team!A7)</f>
        <v>knob</v>
      </c>
      <c r="B7" t="str">
        <f t="shared" si="0"/>
        <v>RachelJWinston@superrito.com</v>
      </c>
      <c r="C7" t="str">
        <f>Team!B7</f>
        <v>Rachel Winston</v>
      </c>
      <c r="D7" t="str">
        <f>"rg:[ { 'role' : '"&amp;Team!C7&amp;"' } ]"</f>
        <v>rg:[ { 'role' : 'eao' } ]</v>
      </c>
      <c r="E7" t="str">
        <f>"rg:[ { 'role' : '"&amp;Team!D7&amp;"' } ]"</f>
        <v>rg:[ { 'role' : 'eao' } ]</v>
      </c>
      <c r="F7" t="str">
        <f>Team!E7</f>
        <v>RachelJWinston@superrito.com</v>
      </c>
      <c r="G7" t="str">
        <f>Team!F7</f>
        <v>Canada</v>
      </c>
      <c r="H7" t="str">
        <f>Team!G7</f>
        <v>3617 Essendene Avenue</v>
      </c>
      <c r="I7" t="str">
        <f>Team!H7</f>
        <v>Abbotsford</v>
      </c>
      <c r="J7" t="str">
        <f>Team!I7</f>
        <v>BC</v>
      </c>
      <c r="K7" t="str">
        <f>Team!J7</f>
        <v>V2S 2H7</v>
      </c>
      <c r="L7" t="str">
        <f>IF(Team!K7 = "Yes", "rg:True", "rg:False")</f>
        <v>rg:True</v>
      </c>
      <c r="M7" t="str">
        <f>IF(Team!L7 = "Yes", "rg:True", "rg:False")</f>
        <v>rg:False</v>
      </c>
    </row>
    <row r="8" spans="1:13" x14ac:dyDescent="0.35">
      <c r="A8" t="str">
        <f>IF(ISBLANK(Team!A8),"-",Team!A8)</f>
        <v>knob</v>
      </c>
      <c r="B8" t="str">
        <f t="shared" si="0"/>
        <v>SuzanneFBoyd@jourrapide.com</v>
      </c>
      <c r="C8" t="str">
        <f>Team!B8</f>
        <v>Suzanne Boyd</v>
      </c>
      <c r="D8" t="str">
        <f>"rg:[ { 'role' : '"&amp;Team!C8&amp;"' } ]"</f>
        <v>rg:[ { 'role' : 'wg' } ]</v>
      </c>
      <c r="E8" t="str">
        <f>"rg:[ { 'role' : '"&amp;Team!D8&amp;"' } ]"</f>
        <v>rg:[ { 'role' : 'wg' } ]</v>
      </c>
      <c r="F8" t="str">
        <f>Team!E8</f>
        <v>SuzanneFBoyd@jourrapide.com</v>
      </c>
      <c r="G8" t="str">
        <f>Team!F8</f>
        <v>Canada</v>
      </c>
      <c r="H8" t="str">
        <f>Team!G8</f>
        <v>2426 Cordova Street</v>
      </c>
      <c r="I8" t="str">
        <f>Team!H8</f>
        <v>Vancouver</v>
      </c>
      <c r="J8" t="str">
        <f>Team!I8</f>
        <v>BC</v>
      </c>
      <c r="K8" t="str">
        <f>Team!J8</f>
        <v>V6B 1E1</v>
      </c>
      <c r="L8" t="str">
        <f>IF(Team!K8 = "Yes", "rg:True", "rg:False")</f>
        <v>rg:True</v>
      </c>
      <c r="M8" t="str">
        <f>IF(Team!L8 = "Yes", "rg:True", "rg:False")</f>
        <v>rg:False</v>
      </c>
    </row>
    <row r="9" spans="1:13" x14ac:dyDescent="0.35">
      <c r="A9" t="str">
        <f>IF(ISBLANK(Team!A9),"-",Team!A9)</f>
        <v>knob</v>
      </c>
      <c r="B9" t="str">
        <f t="shared" si="0"/>
        <v>ChristopherCLemon@gustr.com</v>
      </c>
      <c r="C9" t="str">
        <f>Team!B9</f>
        <v>Christopher Lemon</v>
      </c>
      <c r="D9" t="str">
        <f>"rg:[ { 'role' : '"&amp;Team!C9&amp;"' } ]"</f>
        <v>rg:[ { 'role' : 'wg' } ]</v>
      </c>
      <c r="E9" t="str">
        <f>"rg:[ { 'role' : '"&amp;Team!D9&amp;"' } ]"</f>
        <v>rg:[ { 'role' : 'proponent' } ]</v>
      </c>
      <c r="F9" t="str">
        <f>Team!E9</f>
        <v>ChristopherCLemon@gustr.com</v>
      </c>
      <c r="G9" t="str">
        <f>Team!F9</f>
        <v>Canada</v>
      </c>
      <c r="H9" t="str">
        <f>Team!G9</f>
        <v>1019 Hardy Street</v>
      </c>
      <c r="I9" t="str">
        <f>Team!H9</f>
        <v>Kelowna</v>
      </c>
      <c r="J9" t="str">
        <f>Team!I9</f>
        <v>BC</v>
      </c>
      <c r="K9" t="str">
        <f>Team!J9</f>
        <v>V1Y 8H2</v>
      </c>
      <c r="L9" t="str">
        <f>IF(Team!K9 = "Yes", "rg:True", "rg:False")</f>
        <v>rg:False</v>
      </c>
      <c r="M9" t="str">
        <f>IF(Team!L9 = "Yes", "rg:True", "rg:False")</f>
        <v>rg:True</v>
      </c>
    </row>
    <row r="10" spans="1:13" x14ac:dyDescent="0.35">
      <c r="A10" t="str">
        <f>IF(ISBLANK(Team!A10),"-",Team!A10)</f>
        <v>knob</v>
      </c>
      <c r="B10" t="str">
        <f t="shared" si="0"/>
        <v>LidiaSOtis@einrot.com</v>
      </c>
      <c r="C10" t="str">
        <f>Team!B10</f>
        <v>Lidia Otis</v>
      </c>
      <c r="D10" t="str">
        <f>"rg:[ { 'role' : '"&amp;Team!C10&amp;"' } ]"</f>
        <v>rg:[ { 'role' : 'public' } ]</v>
      </c>
      <c r="E10" t="str">
        <f>"rg:[ { 'role' : '"&amp;Team!D10&amp;"' } ]"</f>
        <v>rg:[ { 'role' : 'wg' } ]</v>
      </c>
      <c r="F10" t="str">
        <f>Team!E10</f>
        <v>LidiaSOtis@einrot.com</v>
      </c>
      <c r="G10" t="str">
        <f>Team!F10</f>
        <v>Canada</v>
      </c>
      <c r="H10" t="str">
        <f>Team!G10</f>
        <v>1004 Robson St</v>
      </c>
      <c r="I10" t="str">
        <f>Team!H10</f>
        <v>Vancouver</v>
      </c>
      <c r="J10" t="str">
        <f>Team!I10</f>
        <v>BC</v>
      </c>
      <c r="K10" t="str">
        <f>Team!J10</f>
        <v>V6B 3K9</v>
      </c>
      <c r="L10" t="str">
        <f>IF(Team!K10 = "Yes", "rg:True", "rg:False")</f>
        <v>rg:True</v>
      </c>
      <c r="M10" t="str">
        <f>IF(Team!L10 = "Yes", "rg:True", "rg:False")</f>
        <v>rg:False</v>
      </c>
    </row>
    <row r="11" spans="1:13" x14ac:dyDescent="0.35">
      <c r="A11" t="str">
        <f>IF(ISBLANK(Team!A11),"-",Team!A11)</f>
        <v>knob</v>
      </c>
      <c r="B11" t="str">
        <f t="shared" si="0"/>
        <v>LindaRPeterson@dayrep.com</v>
      </c>
      <c r="C11" t="str">
        <f>Team!B11</f>
        <v>Linda Peterson</v>
      </c>
      <c r="D11" t="str">
        <f>"rg:[ { 'role' : '"&amp;Team!C11&amp;"' } ]"</f>
        <v>rg:[ { 'role' : 'public' } ]</v>
      </c>
      <c r="E11" t="str">
        <f>"rg:[ { 'role' : '"&amp;Team!D11&amp;"' } ]"</f>
        <v>rg:[ { 'role' : 'public' } ]</v>
      </c>
      <c r="F11" t="str">
        <f>Team!E11</f>
        <v>LindaRPeterson@dayrep.com</v>
      </c>
      <c r="G11" t="str">
        <f>Team!F11</f>
        <v>Canada</v>
      </c>
      <c r="H11" t="str">
        <f>Team!G11</f>
        <v>3561 Wellington Ave</v>
      </c>
      <c r="I11" t="str">
        <f>Team!H11</f>
        <v>Chilliwack</v>
      </c>
      <c r="J11" t="str">
        <f>Team!I11</f>
        <v>BC</v>
      </c>
      <c r="K11" t="str">
        <f>Team!J11</f>
        <v>V2P 2M1</v>
      </c>
      <c r="L11" t="str">
        <f>IF(Team!K11 = "Yes", "rg:True", "rg:False")</f>
        <v>rg:True</v>
      </c>
      <c r="M11" t="str">
        <f>IF(Team!L11 = "Yes", "rg:True", "rg:False")</f>
        <v>rg:False</v>
      </c>
    </row>
    <row r="12" spans="1:13" x14ac:dyDescent="0.35">
      <c r="A12" t="str">
        <f>IF(ISBLANK(Team!A12),"-",Team!A12)</f>
        <v>-</v>
      </c>
      <c r="B12">
        <f t="shared" si="0"/>
        <v>0</v>
      </c>
      <c r="C12">
        <f>Team!B12</f>
        <v>0</v>
      </c>
      <c r="D12" t="str">
        <f>"rg:[ { 'role' : '"&amp;Team!C12&amp;"' } ]"</f>
        <v>rg:[ { 'role' : '' } ]</v>
      </c>
      <c r="E12" t="str">
        <f>"rg:[ { 'role' : '"&amp;Team!D12&amp;"' } ]"</f>
        <v>rg:[ { 'role' : '' } ]</v>
      </c>
      <c r="F12">
        <f>Team!E12</f>
        <v>0</v>
      </c>
      <c r="G12">
        <f>Team!F12</f>
        <v>0</v>
      </c>
      <c r="H12">
        <f>Team!G12</f>
        <v>0</v>
      </c>
      <c r="I12">
        <f>Team!H12</f>
        <v>0</v>
      </c>
      <c r="J12">
        <f>Team!I12</f>
        <v>0</v>
      </c>
      <c r="K12">
        <f>Team!J12</f>
        <v>0</v>
      </c>
      <c r="L12" t="str">
        <f>IF(Team!K12 = "Yes", "rg:True", "rg:False")</f>
        <v>rg:False</v>
      </c>
      <c r="M12" t="str">
        <f>IF(Team!L12 = "Yes", "rg:True", "rg:False")</f>
        <v>rg:False</v>
      </c>
    </row>
    <row r="13" spans="1:13" x14ac:dyDescent="0.35">
      <c r="A13" t="str">
        <f>IF(ISBLANK(Team!A13),"-",Team!A13)</f>
        <v>-</v>
      </c>
      <c r="B13">
        <f t="shared" si="0"/>
        <v>0</v>
      </c>
      <c r="C13">
        <f>Team!B13</f>
        <v>0</v>
      </c>
      <c r="D13" t="str">
        <f>"rg:[ { 'role' : '"&amp;Team!C13&amp;"' } ]"</f>
        <v>rg:[ { 'role' : '' } ]</v>
      </c>
      <c r="E13" t="str">
        <f>"rg:[ { 'role' : '"&amp;Team!D13&amp;"' } ]"</f>
        <v>rg:[ { 'role' : '' } ]</v>
      </c>
      <c r="F13">
        <f>Team!E13</f>
        <v>0</v>
      </c>
      <c r="G13">
        <f>Team!F13</f>
        <v>0</v>
      </c>
      <c r="H13">
        <f>Team!G13</f>
        <v>0</v>
      </c>
      <c r="I13">
        <f>Team!H13</f>
        <v>0</v>
      </c>
      <c r="J13">
        <f>Team!I13</f>
        <v>0</v>
      </c>
      <c r="K13">
        <f>Team!J13</f>
        <v>0</v>
      </c>
      <c r="L13" t="str">
        <f>IF(Team!K13 = "Yes", "rg:True", "rg:False")</f>
        <v>rg:False</v>
      </c>
      <c r="M13" t="str">
        <f>IF(Team!L13 = "Yes", "rg:True", "rg:False")</f>
        <v>rg:False</v>
      </c>
    </row>
    <row r="14" spans="1:13" x14ac:dyDescent="0.35">
      <c r="A14" t="str">
        <f>IF(ISBLANK(Team!A14),"-",Team!A14)</f>
        <v>-</v>
      </c>
      <c r="B14">
        <f t="shared" si="0"/>
        <v>0</v>
      </c>
      <c r="C14">
        <f>Team!B14</f>
        <v>0</v>
      </c>
      <c r="D14" t="str">
        <f>"rg:[ { 'role' : '"&amp;Team!C14&amp;"' } ]"</f>
        <v>rg:[ { 'role' : '' } ]</v>
      </c>
      <c r="E14" t="str">
        <f>"rg:[ { 'role' : '"&amp;Team!D14&amp;"' } ]"</f>
        <v>rg:[ { 'role' : '' } ]</v>
      </c>
      <c r="F14">
        <f>Team!E14</f>
        <v>0</v>
      </c>
      <c r="G14">
        <f>Team!F14</f>
        <v>0</v>
      </c>
      <c r="H14">
        <f>Team!G14</f>
        <v>0</v>
      </c>
      <c r="I14">
        <f>Team!H14</f>
        <v>0</v>
      </c>
      <c r="J14">
        <f>Team!I14</f>
        <v>0</v>
      </c>
      <c r="K14">
        <f>Team!J14</f>
        <v>0</v>
      </c>
      <c r="L14" t="str">
        <f>IF(Team!K14 = "Yes", "rg:True", "rg:False")</f>
        <v>rg:False</v>
      </c>
      <c r="M14" t="str">
        <f>IF(Team!L14 = "Yes", "rg:True", "rg:False")</f>
        <v>rg:False</v>
      </c>
    </row>
    <row r="15" spans="1:13" x14ac:dyDescent="0.35">
      <c r="A15" t="str">
        <f>IF(ISBLANK(Team!A15),"-",Team!A15)</f>
        <v>-</v>
      </c>
      <c r="B15">
        <f t="shared" si="0"/>
        <v>0</v>
      </c>
      <c r="C15">
        <f>Team!B15</f>
        <v>0</v>
      </c>
      <c r="D15" t="str">
        <f>"rg:[ { 'role' : '"&amp;Team!C15&amp;"' } ]"</f>
        <v>rg:[ { 'role' : '' } ]</v>
      </c>
      <c r="E15" t="str">
        <f>"rg:[ { 'role' : '"&amp;Team!D15&amp;"' } ]"</f>
        <v>rg:[ { 'role' : '' } ]</v>
      </c>
      <c r="F15">
        <f>Team!E15</f>
        <v>0</v>
      </c>
      <c r="G15">
        <f>Team!F15</f>
        <v>0</v>
      </c>
      <c r="H15">
        <f>Team!G15</f>
        <v>0</v>
      </c>
      <c r="I15">
        <f>Team!H15</f>
        <v>0</v>
      </c>
      <c r="J15">
        <f>Team!I15</f>
        <v>0</v>
      </c>
      <c r="K15">
        <f>Team!J15</f>
        <v>0</v>
      </c>
      <c r="L15" t="str">
        <f>IF(Team!K15 = "Yes", "rg:True", "rg:False")</f>
        <v>rg:False</v>
      </c>
      <c r="M15" t="str">
        <f>IF(Team!L15 = "Yes", "rg:True", "rg:False")</f>
        <v>rg:False</v>
      </c>
    </row>
    <row r="16" spans="1:13" x14ac:dyDescent="0.35">
      <c r="A16" t="str">
        <f>IF(ISBLANK(Team!A16),"-",Team!A16)</f>
        <v>-</v>
      </c>
      <c r="B16">
        <f t="shared" si="0"/>
        <v>0</v>
      </c>
      <c r="C16">
        <f>Team!B16</f>
        <v>0</v>
      </c>
      <c r="D16" t="str">
        <f>"rg:[ { 'role' : '"&amp;Team!C16&amp;"' } ]"</f>
        <v>rg:[ { 'role' : '' } ]</v>
      </c>
      <c r="E16" t="str">
        <f>"rg:[ { 'role' : '"&amp;Team!D16&amp;"' } ]"</f>
        <v>rg:[ { 'role' : '' } ]</v>
      </c>
      <c r="F16">
        <f>Team!E16</f>
        <v>0</v>
      </c>
      <c r="G16">
        <f>Team!F16</f>
        <v>0</v>
      </c>
      <c r="H16">
        <f>Team!G16</f>
        <v>0</v>
      </c>
      <c r="I16">
        <f>Team!H16</f>
        <v>0</v>
      </c>
      <c r="J16">
        <f>Team!I16</f>
        <v>0</v>
      </c>
      <c r="K16">
        <f>Team!J16</f>
        <v>0</v>
      </c>
      <c r="L16" t="str">
        <f>IF(Team!K16 = "Yes", "rg:True", "rg:False")</f>
        <v>rg:False</v>
      </c>
      <c r="M16" t="str">
        <f>IF(Team!L16 = "Yes", "rg:True", "rg:False")</f>
        <v>rg:False</v>
      </c>
    </row>
  </sheetData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Team</vt:lpstr>
      <vt:lpstr>Deliverables</vt:lpstr>
      <vt:lpstr>Buckets</vt:lpstr>
      <vt:lpstr>Requirements</vt:lpstr>
      <vt:lpstr>Audit</vt:lpstr>
      <vt:lpstr>Public Comments</vt:lpstr>
      <vt:lpstr>Notifications</vt:lpstr>
      <vt:lpstr>Issues</vt:lpstr>
      <vt:lpstr>Responses</vt:lpstr>
      <vt:lpstr>Approvals</vt:lpstr>
      <vt:lpstr>Conditions</vt:lpstr>
      <vt:lpstr>conditions.csv</vt:lpstr>
      <vt:lpstr>approvals.csv</vt:lpstr>
      <vt:lpstr>responses.csv</vt:lpstr>
      <vt:lpstr>issues.csv</vt:lpstr>
      <vt:lpstr>notifications.csv</vt:lpstr>
      <vt:lpstr>publiccomments.csv</vt:lpstr>
      <vt:lpstr>audit.csv</vt:lpstr>
      <vt:lpstr>data.csv</vt:lpstr>
      <vt:lpstr>requirements.csv</vt:lpstr>
      <vt:lpstr>buckets.csv</vt:lpstr>
      <vt:lpstr>deliverables.csv</vt:lpstr>
      <vt:lpstr>team.csv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2015-11-01T02:54:13Z</dcterms:modified>
</cp:coreProperties>
</file>